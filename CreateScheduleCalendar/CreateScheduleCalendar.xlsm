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20.240\share-ChiEne\07_個人フォルダ\950570_金子理恵\作成ツール\予定管理カレンダー作成\"/>
    </mc:Choice>
  </mc:AlternateContent>
  <xr:revisionPtr revIDLastSave="0" documentId="13_ncr:1_{1358D482-1A35-4360-9342-AC9353DAD235}" xr6:coauthVersionLast="47" xr6:coauthVersionMax="47" xr10:uidLastSave="{00000000-0000-0000-0000-000000000000}"/>
  <bookViews>
    <workbookView xWindow="20370" yWindow="-120" windowWidth="29040" windowHeight="15720" xr2:uid="{D0432BA8-8DF3-45CC-91B2-8AD15D749FDA}"/>
  </bookViews>
  <sheets>
    <sheet name="予定一覧" sheetId="1" r:id="rId1"/>
    <sheet name="カレンダー" sheetId="377" r:id="rId2"/>
  </sheets>
  <functionGroups builtInGroupCount="19"/>
  <definedNames>
    <definedName name="_xleta.CELL" hidden="1" xlm="1">#NAME?</definedName>
    <definedName name="_xleta.HYPERLINK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4" i="377" l="1"/>
  <c r="E42" i="377"/>
  <c r="D42" i="377"/>
  <c r="C42" i="377"/>
  <c r="B42" i="377"/>
  <c r="U18" i="377"/>
  <c r="T18" i="377"/>
  <c r="S18" i="377"/>
  <c r="R18" i="377"/>
  <c r="E18" i="377"/>
  <c r="D18" i="377"/>
  <c r="C18" i="377"/>
  <c r="B18" i="377"/>
  <c r="T14" i="377"/>
  <c r="S14" i="377"/>
  <c r="R14" i="377"/>
  <c r="I14" i="377"/>
  <c r="H14" i="377"/>
  <c r="G14" i="377"/>
  <c r="F14" i="377"/>
  <c r="U9" i="377"/>
  <c r="T9" i="377"/>
  <c r="S9" i="377"/>
  <c r="R9" i="377"/>
  <c r="I9" i="377"/>
  <c r="H9" i="377"/>
  <c r="G9" i="377"/>
  <c r="F9" i="377"/>
  <c r="E12" i="377"/>
  <c r="D12" i="377"/>
  <c r="C12" i="377"/>
  <c r="B12" i="377"/>
  <c r="E11" i="377"/>
  <c r="D11" i="377"/>
  <c r="C11" i="377"/>
  <c r="B11" i="377"/>
  <c r="E10" i="377"/>
  <c r="D10" i="377"/>
  <c r="C10" i="377"/>
  <c r="B10" i="377"/>
  <c r="E9" i="377"/>
  <c r="D9" i="377"/>
  <c r="C9" i="377"/>
  <c r="B9" i="377"/>
  <c r="G4" i="377"/>
  <c r="H4" i="377"/>
  <c r="I4" i="377"/>
  <c r="K4" i="377"/>
  <c r="L4" i="377"/>
  <c r="M4" i="377"/>
  <c r="O4" i="377"/>
  <c r="P4" i="377"/>
  <c r="Q4" i="377"/>
  <c r="S4" i="377"/>
  <c r="T4" i="377"/>
  <c r="U4" i="377"/>
  <c r="W4" i="377"/>
  <c r="X4" i="377"/>
  <c r="Y4" i="377"/>
  <c r="AA4" i="377"/>
  <c r="AB4" i="377"/>
  <c r="AC4" i="377"/>
  <c r="G8" i="377"/>
  <c r="H8" i="377"/>
  <c r="I8" i="377"/>
  <c r="K8" i="377"/>
  <c r="L8" i="377"/>
  <c r="M8" i="377"/>
  <c r="O8" i="377"/>
  <c r="P8" i="377"/>
  <c r="Q8" i="377"/>
  <c r="S8" i="377"/>
  <c r="T8" i="377"/>
  <c r="U8" i="377"/>
  <c r="W8" i="377"/>
  <c r="X8" i="377"/>
  <c r="Y8" i="377"/>
  <c r="AA8" i="377"/>
  <c r="AB8" i="377"/>
  <c r="AC8" i="377"/>
  <c r="G13" i="377"/>
  <c r="H13" i="377"/>
  <c r="I13" i="377"/>
  <c r="K13" i="377"/>
  <c r="L13" i="377"/>
  <c r="M13" i="377"/>
  <c r="O13" i="377"/>
  <c r="P13" i="377"/>
  <c r="Q13" i="377"/>
  <c r="S13" i="377"/>
  <c r="T13" i="377"/>
  <c r="U13" i="377"/>
  <c r="W13" i="377"/>
  <c r="X13" i="377"/>
  <c r="Y13" i="377"/>
  <c r="AA13" i="377"/>
  <c r="AB13" i="377"/>
  <c r="AC13" i="377"/>
  <c r="G17" i="377"/>
  <c r="H17" i="377"/>
  <c r="I17" i="377"/>
  <c r="K17" i="377"/>
  <c r="L17" i="377"/>
  <c r="M17" i="377"/>
  <c r="O17" i="377"/>
  <c r="P17" i="377"/>
  <c r="Q17" i="377"/>
  <c r="S17" i="377"/>
  <c r="T17" i="377"/>
  <c r="U17" i="377"/>
  <c r="W17" i="377"/>
  <c r="X17" i="377"/>
  <c r="Y17" i="377"/>
  <c r="AA17" i="377"/>
  <c r="AB17" i="377"/>
  <c r="AC17" i="377"/>
  <c r="G21" i="377"/>
  <c r="H21" i="377"/>
  <c r="I21" i="377"/>
  <c r="K21" i="377"/>
  <c r="L21" i="377"/>
  <c r="M21" i="377"/>
  <c r="O21" i="377"/>
  <c r="P21" i="377"/>
  <c r="Q21" i="377"/>
  <c r="S21" i="377"/>
  <c r="T21" i="377"/>
  <c r="U21" i="377"/>
  <c r="W21" i="377"/>
  <c r="X21" i="377"/>
  <c r="Y21" i="377"/>
  <c r="AA21" i="377"/>
  <c r="AB21" i="377"/>
  <c r="AC21" i="377"/>
  <c r="G25" i="377"/>
  <c r="H25" i="377"/>
  <c r="I25" i="377"/>
  <c r="K25" i="377"/>
  <c r="L25" i="377"/>
  <c r="M25" i="377"/>
  <c r="O25" i="377"/>
  <c r="P25" i="377"/>
  <c r="Q25" i="377"/>
  <c r="S25" i="377"/>
  <c r="T25" i="377"/>
  <c r="U25" i="377"/>
  <c r="W25" i="377"/>
  <c r="X25" i="377"/>
  <c r="Y25" i="377"/>
  <c r="AA25" i="377"/>
  <c r="AB25" i="377"/>
  <c r="AC25" i="377"/>
  <c r="G29" i="377"/>
  <c r="H29" i="377"/>
  <c r="I29" i="377"/>
  <c r="K29" i="377"/>
  <c r="L29" i="377"/>
  <c r="M29" i="377"/>
  <c r="O29" i="377"/>
  <c r="P29" i="377"/>
  <c r="Q29" i="377"/>
  <c r="S29" i="377"/>
  <c r="T29" i="377"/>
  <c r="U29" i="377"/>
  <c r="W29" i="377"/>
  <c r="X29" i="377"/>
  <c r="Y29" i="377"/>
  <c r="AA29" i="377"/>
  <c r="AA33" i="377" s="1"/>
  <c r="AA37" i="377" s="1"/>
  <c r="AA41" i="377" s="1"/>
  <c r="AA45" i="377" s="1"/>
  <c r="AB29" i="377"/>
  <c r="AC29" i="377"/>
  <c r="G33" i="377"/>
  <c r="G37" i="377" s="1"/>
  <c r="G41" i="377" s="1"/>
  <c r="G45" i="377" s="1"/>
  <c r="H33" i="377"/>
  <c r="I33" i="377"/>
  <c r="K33" i="377"/>
  <c r="K37" i="377" s="1"/>
  <c r="K41" i="377" s="1"/>
  <c r="K45" i="377" s="1"/>
  <c r="L33" i="377"/>
  <c r="M33" i="377"/>
  <c r="O33" i="377"/>
  <c r="O37" i="377" s="1"/>
  <c r="O41" i="377" s="1"/>
  <c r="O45" i="377" s="1"/>
  <c r="P33" i="377"/>
  <c r="Q33" i="377"/>
  <c r="S33" i="377"/>
  <c r="S37" i="377" s="1"/>
  <c r="S41" i="377" s="1"/>
  <c r="S45" i="377" s="1"/>
  <c r="T33" i="377"/>
  <c r="U33" i="377"/>
  <c r="W33" i="377"/>
  <c r="W37" i="377" s="1"/>
  <c r="W41" i="377" s="1"/>
  <c r="W45" i="377" s="1"/>
  <c r="X33" i="377"/>
  <c r="Y33" i="377"/>
  <c r="AB33" i="377"/>
  <c r="AB37" i="377" s="1"/>
  <c r="AB41" i="377" s="1"/>
  <c r="AB45" i="377" s="1"/>
  <c r="AC33" i="377"/>
  <c r="H37" i="377"/>
  <c r="H41" i="377" s="1"/>
  <c r="H45" i="377" s="1"/>
  <c r="I37" i="377"/>
  <c r="L37" i="377"/>
  <c r="L41" i="377" s="1"/>
  <c r="L45" i="377" s="1"/>
  <c r="M37" i="377"/>
  <c r="P37" i="377"/>
  <c r="P41" i="377" s="1"/>
  <c r="P45" i="377" s="1"/>
  <c r="Q37" i="377"/>
  <c r="T37" i="377"/>
  <c r="T41" i="377" s="1"/>
  <c r="T45" i="377" s="1"/>
  <c r="U37" i="377"/>
  <c r="X37" i="377"/>
  <c r="X41" i="377" s="1"/>
  <c r="X45" i="377" s="1"/>
  <c r="Y37" i="377"/>
  <c r="AC37" i="377"/>
  <c r="I41" i="377"/>
  <c r="M41" i="377"/>
  <c r="Q41" i="377"/>
  <c r="U41" i="377"/>
  <c r="Y41" i="377"/>
  <c r="AC41" i="377"/>
  <c r="I45" i="377"/>
  <c r="M45" i="377"/>
  <c r="Q45" i="377"/>
  <c r="U45" i="377"/>
  <c r="Y45" i="377"/>
  <c r="AC45" i="377"/>
  <c r="E13" i="377"/>
  <c r="E17" i="377"/>
  <c r="E21" i="377"/>
  <c r="E25" i="377"/>
  <c r="E29" i="377"/>
  <c r="E33" i="377"/>
  <c r="E37" i="377"/>
  <c r="E41" i="377"/>
  <c r="E45" i="377"/>
  <c r="D8" i="377"/>
  <c r="D13" i="377" s="1"/>
  <c r="D17" i="377" s="1"/>
  <c r="D21" i="377" s="1"/>
  <c r="D25" i="377" s="1"/>
  <c r="D29" i="377" s="1"/>
  <c r="D33" i="377" s="1"/>
  <c r="D37" i="377" s="1"/>
  <c r="D41" i="377" s="1"/>
  <c r="D45" i="377" s="1"/>
  <c r="B8" i="377"/>
  <c r="B13" i="377" s="1"/>
  <c r="B17" i="377" s="1"/>
  <c r="B21" i="377" s="1"/>
  <c r="B25" i="377" s="1"/>
  <c r="B29" i="377" s="1"/>
  <c r="B33" i="377" s="1"/>
  <c r="B37" i="377" s="1"/>
  <c r="B41" i="377" s="1"/>
  <c r="B45" i="377" s="1"/>
  <c r="E8" i="377"/>
  <c r="E4" i="377"/>
  <c r="D4" i="377"/>
  <c r="C4" i="377"/>
  <c r="C8" i="377" s="1"/>
  <c r="C13" i="377" s="1"/>
  <c r="C17" i="377" s="1"/>
  <c r="C21" i="377" s="1"/>
  <c r="C25" i="377" s="1"/>
  <c r="C29" i="377" s="1"/>
  <c r="C33" i="377" s="1"/>
  <c r="C37" i="377" s="1"/>
  <c r="C41" i="377" s="1"/>
  <c r="C45" i="377" s="1"/>
  <c r="B4" i="377"/>
  <c r="G3" i="377"/>
  <c r="K3" i="377" s="1"/>
  <c r="O3" i="377" s="1"/>
  <c r="S3" i="377" s="1"/>
  <c r="W3" i="377" s="1"/>
  <c r="AA3" i="377" s="1"/>
  <c r="H3" i="377"/>
  <c r="I3" i="377"/>
  <c r="L3" i="377"/>
  <c r="M3" i="377"/>
  <c r="P3" i="377"/>
  <c r="Q3" i="377"/>
  <c r="U3" i="377" s="1"/>
  <c r="Y3" i="377" s="1"/>
  <c r="AC3" i="377" s="1"/>
  <c r="T3" i="377"/>
  <c r="X3" i="377" s="1"/>
  <c r="AB3" i="377" s="1"/>
  <c r="F3" i="377"/>
  <c r="F4" i="377" s="1"/>
  <c r="F8" i="377" s="1"/>
  <c r="F13" i="377" s="1"/>
  <c r="F17" i="377" s="1"/>
  <c r="F21" i="377" s="1"/>
  <c r="F25" i="377" s="1"/>
  <c r="F29" i="377" s="1"/>
  <c r="F33" i="377" s="1"/>
  <c r="F37" i="377" s="1"/>
  <c r="F41" i="377" s="1"/>
  <c r="F45" i="377" s="1"/>
  <c r="F3" i="1"/>
  <c r="J3" i="377" l="1"/>
  <c r="F9" i="1"/>
  <c r="J4" i="377" l="1"/>
  <c r="J8" i="377" s="1"/>
  <c r="J13" i="377" s="1"/>
  <c r="J17" i="377" s="1"/>
  <c r="J21" i="377" s="1"/>
  <c r="J25" i="377" s="1"/>
  <c r="J29" i="377" s="1"/>
  <c r="J33" i="377" s="1"/>
  <c r="J37" i="377" s="1"/>
  <c r="J41" i="377" s="1"/>
  <c r="J45" i="377" s="1"/>
  <c r="N3" i="377"/>
  <c r="F8" i="1"/>
  <c r="F7" i="1"/>
  <c r="F6" i="1"/>
  <c r="F5" i="1"/>
  <c r="F4" i="1"/>
  <c r="R3" i="377" l="1"/>
  <c r="N4" i="377"/>
  <c r="N8" i="377" s="1"/>
  <c r="N13" i="377" s="1"/>
  <c r="N17" i="377" s="1"/>
  <c r="N21" i="377" s="1"/>
  <c r="N25" i="377" s="1"/>
  <c r="N29" i="377" s="1"/>
  <c r="N33" i="377" s="1"/>
  <c r="N37" i="377" s="1"/>
  <c r="N41" i="377" s="1"/>
  <c r="N45" i="377" s="1"/>
  <c r="V3" i="377" l="1"/>
  <c r="R4" i="377"/>
  <c r="R8" i="377" s="1"/>
  <c r="R13" i="377" s="1"/>
  <c r="R17" i="377" s="1"/>
  <c r="R21" i="377" s="1"/>
  <c r="R25" i="377" s="1"/>
  <c r="R29" i="377" s="1"/>
  <c r="R33" i="377" s="1"/>
  <c r="R37" i="377" s="1"/>
  <c r="R41" i="377" s="1"/>
  <c r="R45" i="377" s="1"/>
  <c r="Z3" i="377" l="1"/>
  <c r="Z4" i="377" s="1"/>
  <c r="Z8" i="377" s="1"/>
  <c r="Z13" i="377" s="1"/>
  <c r="Z17" i="377" s="1"/>
  <c r="Z21" i="377" s="1"/>
  <c r="Z25" i="377" s="1"/>
  <c r="Z29" i="377" s="1"/>
  <c r="Z33" i="377" s="1"/>
  <c r="Z37" i="377" s="1"/>
  <c r="Z41" i="377" s="1"/>
  <c r="Z45" i="377" s="1"/>
  <c r="V4" i="377"/>
  <c r="V8" i="377" s="1"/>
  <c r="V13" i="377" s="1"/>
  <c r="V17" i="377" s="1"/>
  <c r="V21" i="377" s="1"/>
  <c r="V25" i="377" s="1"/>
  <c r="V29" i="377" s="1"/>
  <c r="V33" i="377" s="1"/>
  <c r="V37" i="377" s="1"/>
  <c r="V41" i="377" s="1"/>
  <c r="V45" i="377" s="1"/>
</calcChain>
</file>

<file path=xl/sharedStrings.xml><?xml version="1.0" encoding="utf-8"?>
<sst xmlns="http://schemas.openxmlformats.org/spreadsheetml/2006/main" count="33" uniqueCount="22">
  <si>
    <t>日付</t>
    <rPh sb="0" eb="2">
      <t>ヒヅケ</t>
    </rPh>
    <phoneticPr fontId="1"/>
  </si>
  <si>
    <t>●●へ電話</t>
    <rPh sb="3" eb="5">
      <t>デンワ</t>
    </rPh>
    <phoneticPr fontId="1"/>
  </si>
  <si>
    <t>●●提出</t>
    <rPh sb="2" eb="4">
      <t>テイシュツ</t>
    </rPh>
    <phoneticPr fontId="1"/>
  </si>
  <si>
    <t>●●市役所</t>
    <rPh sb="2" eb="5">
      <t>シヤクショ</t>
    </rPh>
    <phoneticPr fontId="1"/>
  </si>
  <si>
    <t>✓</t>
    <phoneticPr fontId="1"/>
  </si>
  <si>
    <t>▲▲提出</t>
    <rPh sb="2" eb="4">
      <t>テイシュツ</t>
    </rPh>
    <phoneticPr fontId="1"/>
  </si>
  <si>
    <t>AM</t>
    <phoneticPr fontId="1"/>
  </si>
  <si>
    <t>PM</t>
    <phoneticPr fontId="1"/>
  </si>
  <si>
    <t>時間</t>
    <rPh sb="0" eb="2">
      <t>ジカン</t>
    </rPh>
    <phoneticPr fontId="1"/>
  </si>
  <si>
    <t>1階市民課</t>
    <rPh sb="1" eb="2">
      <t>カイ</t>
    </rPh>
    <rPh sb="2" eb="5">
      <t>シミンカ</t>
    </rPh>
    <phoneticPr fontId="1"/>
  </si>
  <si>
    <t>内線：201</t>
    <rPh sb="0" eb="2">
      <t>ナイセン</t>
    </rPh>
    <phoneticPr fontId="1"/>
  </si>
  <si>
    <t>連絡待ち</t>
    <rPh sb="0" eb="3">
      <t>レンラクマ</t>
    </rPh>
    <phoneticPr fontId="1"/>
  </si>
  <si>
    <t>会費 5000円</t>
    <rPh sb="0" eb="2">
      <t>カイヒ</t>
    </rPh>
    <rPh sb="7" eb="8">
      <t>エン</t>
    </rPh>
    <phoneticPr fontId="1"/>
  </si>
  <si>
    <t>忘年会</t>
    <rPh sb="0" eb="3">
      <t>ボウネンカイ</t>
    </rPh>
    <phoneticPr fontId="1"/>
  </si>
  <si>
    <t>●●会議</t>
    <rPh sb="2" eb="4">
      <t>カイギ</t>
    </rPh>
    <phoneticPr fontId="1"/>
  </si>
  <si>
    <t>資料持参</t>
    <rPh sb="0" eb="4">
      <t>シリョウジサン</t>
    </rPh>
    <phoneticPr fontId="1"/>
  </si>
  <si>
    <t>備考記入</t>
    <rPh sb="0" eb="2">
      <t>ビコウ</t>
    </rPh>
    <rPh sb="2" eb="4">
      <t>キニュウ</t>
    </rPh>
    <phoneticPr fontId="1"/>
  </si>
  <si>
    <t>2024年12月 ～ 2025年1月</t>
  </si>
  <si>
    <t>予定</t>
    <rPh sb="0" eb="2">
      <t>ヨテイ</t>
    </rPh>
    <phoneticPr fontId="1"/>
  </si>
  <si>
    <t>※日付欄を変更したらカレンダーを更新</t>
    <rPh sb="1" eb="4">
      <t>ヒヅケラン</t>
    </rPh>
    <rPh sb="5" eb="7">
      <t>ヘンコウ</t>
    </rPh>
    <rPh sb="16" eb="18">
      <t>コウシン</t>
    </rPh>
    <phoneticPr fontId="1"/>
  </si>
  <si>
    <t>※日付をダブルクリックするとカレンダーへ移動</t>
    <rPh sb="1" eb="3">
      <t>ヒヅケ</t>
    </rPh>
    <rPh sb="20" eb="22">
      <t>イドウ</t>
    </rPh>
    <phoneticPr fontId="1"/>
  </si>
  <si>
    <t>　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</si>
</sst>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/d\ \(aaa\)"/>
    <numFmt numFmtId="177" formatCode="m&quot;月&quot;d&quot;日 &quot;aaa&quot;曜日&quot;"/>
    <numFmt numFmtId="178" formatCode="h:mm;@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6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rgb="FF00008B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ACD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2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 shrinkToFit="1"/>
    </xf>
    <xf numFmtId="0" fontId="0" fillId="0" borderId="5" xfId="0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3" fillId="0" borderId="4" xfId="1" applyBorder="1" applyAlignment="1">
      <alignment horizontal="center" vertical="center" shrinkToFit="1"/>
    </xf>
    <xf numFmtId="0" fontId="3" fillId="0" borderId="7" xfId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178" fontId="0" fillId="0" borderId="6" xfId="0" applyNumberFormat="1" applyBorder="1" applyAlignment="1">
      <alignment horizontal="center" vertical="center" shrinkToFit="1"/>
    </xf>
    <xf numFmtId="0" fontId="3" fillId="0" borderId="1" xfId="1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0" fontId="0" fillId="0" borderId="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3" fillId="0" borderId="1" xfId="1" applyBorder="1">
      <alignment vertical="center"/>
    </xf>
    <xf numFmtId="0" fontId="0" fillId="0" borderId="0" xfId="0" applyAlignment="1">
      <alignment horizontal="left" vertical="center"/>
    </xf>
    <xf numFmtId="14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176" fontId="7" fillId="0" borderId="1" xfId="0" applyNumberFormat="1" applyFont="1" applyBorder="1" applyAlignment="1">
      <alignment horizontal="right" vertical="center"/>
    </xf>
    <xf numFmtId="20" fontId="7" fillId="0" borderId="1" xfId="0" applyNumberFormat="1" applyFont="1" applyBorder="1" applyAlignment="1">
      <alignment horizontal="center" vertical="center"/>
    </xf>
    <xf numFmtId="0" fontId="7" fillId="0" borderId="1" xfId="0" applyFont="1" applyBorder="1">
      <alignment vertical="center"/>
    </xf>
    <xf numFmtId="0" fontId="0" fillId="0" borderId="0" xfId="0" applyAlignment="1"/>
    <xf numFmtId="0" fontId="0" fillId="0" borderId="0" xfId="0" applyAlignment="1">
      <alignment horizontal="left" vertical="top" indent="2"/>
    </xf>
    <xf numFmtId="177" fontId="6" fillId="2" borderId="8" xfId="0" applyNumberFormat="1" applyFont="1" applyFill="1" applyBorder="1" applyAlignment="1">
      <alignment horizontal="center" vertical="center" shrinkToFit="1"/>
    </xf>
    <xf numFmtId="0" fontId="6" fillId="2" borderId="9" xfId="0" applyFont="1" applyFill="1" applyBorder="1" applyAlignment="1">
      <alignment horizontal="center" vertical="center" shrinkToFit="1"/>
    </xf>
    <xf numFmtId="0" fontId="6" fillId="2" borderId="10" xfId="0" applyFont="1" applyFill="1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3" fillId="2" borderId="1" xfId="1" applyFill="1" applyBorder="1" applyAlignment="1">
      <alignment horizontal="center" vertical="center"/>
    </xf>
    <xf numFmtId="0" fontId="8" fillId="0" borderId="2" xfId="1" applyFont="1" applyBorder="1" applyAlignment="1">
      <alignment vertical="center" shrinkToFit="1"/>
    </xf>
    <xf numFmtId="178" fontId="8" fillId="0" borderId="3" xfId="1" applyNumberFormat="1" applyFont="1" applyBorder="1" applyAlignment="1">
      <alignment horizontal="center" vertical="center" shrinkToFit="1"/>
    </xf>
    <xf numFmtId="0" fontId="8" fillId="0" borderId="3" xfId="1" applyFont="1" applyBorder="1" applyAlignment="1">
      <alignment horizontal="center" vertical="center" shrinkToFit="1"/>
    </xf>
    <xf numFmtId="0" fontId="8" fillId="0" borderId="5" xfId="1" applyFont="1" applyBorder="1" applyAlignment="1">
      <alignment vertical="center" shrinkToFit="1"/>
    </xf>
    <xf numFmtId="178" fontId="8" fillId="0" borderId="6" xfId="1" applyNumberFormat="1" applyFont="1" applyBorder="1" applyAlignment="1">
      <alignment horizontal="center" vertical="center" shrinkToFit="1"/>
    </xf>
    <xf numFmtId="0" fontId="8" fillId="0" borderId="6" xfId="1" applyFont="1" applyBorder="1" applyAlignment="1">
      <alignment horizontal="center" vertical="center" shrinkToFit="1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1">
      <alignment vertical="center"/>
    </xf>
  </cellXfs>
  <cellStyles count="3">
    <cellStyle name="ハイパーリンク" xfId="1" builtinId="8" customBuiltin="1"/>
    <cellStyle name="標準" xfId="0" builtinId="0"/>
    <cellStyle name="表示済みのハイパーリンク" xfId="2" builtinId="9" customBuiltin="1"/>
  </cellStyles>
  <dxfs count="8">
    <dxf>
      <fill>
        <patternFill>
          <bgColor rgb="FFFFE4E1"/>
        </patternFill>
      </fill>
    </dxf>
    <dxf>
      <fill>
        <patternFill>
          <bgColor rgb="FFF0F8FF"/>
        </patternFill>
      </fill>
    </dxf>
    <dxf>
      <fill>
        <patternFill>
          <bgColor rgb="FFFFD700"/>
        </patternFill>
      </fill>
    </dxf>
    <dxf>
      <font>
        <color rgb="FFC0C0C0"/>
      </font>
    </dxf>
    <dxf>
      <fill>
        <patternFill>
          <bgColor rgb="FFFFE4E1"/>
        </patternFill>
      </fill>
    </dxf>
    <dxf>
      <fill>
        <patternFill>
          <bgColor rgb="FFF0F8FF"/>
        </patternFill>
      </fill>
    </dxf>
    <dxf>
      <fill>
        <patternFill>
          <bgColor rgb="FFFFD700"/>
        </patternFill>
      </fill>
    </dxf>
    <dxf>
      <font>
        <color rgb="FFC0C0C0"/>
      </font>
    </dxf>
  </dxfs>
  <tableStyles count="0" defaultTableStyle="TableStyleMedium2" defaultPivotStyle="PivotStyleLight16"/>
  <colors>
    <mruColors>
      <color rgb="FFFFCCFF"/>
      <color rgb="FFFFFACD"/>
      <color rgb="FFCCECFF"/>
      <color rgb="FF99CCFF"/>
      <color rgb="FFB0E0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161925</xdr:rowOff>
        </xdr:from>
        <xdr:to>
          <xdr:col>8</xdr:col>
          <xdr:colOff>666750</xdr:colOff>
          <xdr:row>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306C2-F358-4FDD-98B9-49B821E760FF}">
  <sheetPr codeName="Sheet1"/>
  <dimension ref="B1:N19"/>
  <sheetViews>
    <sheetView showGridLines="0" tabSelected="1" workbookViewId="0">
      <selection activeCell="B12" sqref="B12"/>
    </sheetView>
  </sheetViews>
  <sheetFormatPr defaultRowHeight="18.75"/>
  <cols>
    <col min="1" max="1" width="4.375" customWidth="1"/>
    <col min="2" max="2" width="15.625" bestFit="1" customWidth="1"/>
    <col min="3" max="3" width="7" customWidth="1"/>
    <col min="4" max="4" width="18.75" customWidth="1"/>
    <col min="5" max="5" width="15" customWidth="1"/>
    <col min="6" max="6" width="5.25" bestFit="1" customWidth="1"/>
  </cols>
  <sheetData>
    <row r="1" spans="2:14">
      <c r="B1" s="24"/>
      <c r="E1" s="25"/>
      <c r="G1" s="18"/>
      <c r="I1" s="20"/>
      <c r="J1" s="20"/>
      <c r="K1" s="20"/>
      <c r="L1" s="20"/>
      <c r="M1" s="20"/>
      <c r="N1" s="20"/>
    </row>
    <row r="2" spans="2:14">
      <c r="B2" s="29" t="s">
        <v>0</v>
      </c>
      <c r="C2" s="30" t="s">
        <v>8</v>
      </c>
      <c r="D2" s="30" t="s">
        <v>18</v>
      </c>
      <c r="E2" s="30" t="s">
        <v>16</v>
      </c>
      <c r="F2" s="31" t="s">
        <v>4</v>
      </c>
    </row>
    <row r="3" spans="2:14">
      <c r="B3" s="14">
        <v>45628</v>
      </c>
      <c r="C3" s="3">
        <v>0.41666666666666669</v>
      </c>
      <c r="D3" s="1" t="s">
        <v>3</v>
      </c>
      <c r="E3" s="17" t="s">
        <v>9</v>
      </c>
      <c r="F3" s="13" t="str">
        <f>$F$2</f>
        <v>✓</v>
      </c>
    </row>
    <row r="4" spans="2:14">
      <c r="B4" s="14">
        <v>45628</v>
      </c>
      <c r="C4" s="3">
        <v>0.72916666666666663</v>
      </c>
      <c r="D4" s="1" t="s">
        <v>2</v>
      </c>
      <c r="E4" s="17"/>
      <c r="F4" s="13" t="str">
        <f>$F$2</f>
        <v>✓</v>
      </c>
      <c r="H4" t="s">
        <v>19</v>
      </c>
    </row>
    <row r="5" spans="2:14">
      <c r="B5" s="14">
        <v>45628</v>
      </c>
      <c r="C5" s="3" t="s">
        <v>7</v>
      </c>
      <c r="D5" s="1" t="s">
        <v>5</v>
      </c>
      <c r="E5" s="17"/>
      <c r="F5" s="13" t="str">
        <f>$F$2</f>
        <v>✓</v>
      </c>
      <c r="H5" t="s">
        <v>20</v>
      </c>
    </row>
    <row r="6" spans="2:14">
      <c r="B6" s="14">
        <v>45628</v>
      </c>
      <c r="C6" s="3"/>
      <c r="D6" s="1" t="s">
        <v>1</v>
      </c>
      <c r="E6" s="17" t="s">
        <v>10</v>
      </c>
      <c r="F6" s="13" t="str">
        <f>$F$2</f>
        <v>✓</v>
      </c>
    </row>
    <row r="7" spans="2:14">
      <c r="B7" s="14">
        <v>45629</v>
      </c>
      <c r="C7" s="3" t="s">
        <v>7</v>
      </c>
      <c r="D7" s="1" t="s">
        <v>5</v>
      </c>
      <c r="E7" s="17"/>
      <c r="F7" s="13" t="str">
        <f>$F$2</f>
        <v>✓</v>
      </c>
    </row>
    <row r="8" spans="2:14">
      <c r="B8" s="14">
        <v>45632</v>
      </c>
      <c r="C8" s="3"/>
      <c r="D8" s="1" t="s">
        <v>5</v>
      </c>
      <c r="E8" s="17"/>
      <c r="F8" s="13" t="str">
        <f>$F$2</f>
        <v>✓</v>
      </c>
      <c r="M8" s="40"/>
    </row>
    <row r="9" spans="2:14">
      <c r="B9" s="14">
        <v>45636</v>
      </c>
      <c r="C9" s="3" t="s">
        <v>6</v>
      </c>
      <c r="D9" s="1" t="s">
        <v>1</v>
      </c>
      <c r="E9" s="1"/>
      <c r="F9" s="13" t="str">
        <f>$F$2</f>
        <v>✓</v>
      </c>
    </row>
    <row r="10" spans="2:14">
      <c r="B10" s="14">
        <v>45639</v>
      </c>
      <c r="C10" s="3" t="s">
        <v>6</v>
      </c>
      <c r="D10" s="1" t="s">
        <v>2</v>
      </c>
      <c r="E10" s="1" t="s">
        <v>11</v>
      </c>
      <c r="F10" s="13" t="s">
        <v>21</v>
      </c>
      <c r="K10" s="40"/>
    </row>
    <row r="11" spans="2:14">
      <c r="B11" s="14">
        <v>45642</v>
      </c>
      <c r="C11" s="3">
        <v>0.60416666666666663</v>
      </c>
      <c r="D11" s="1" t="s">
        <v>14</v>
      </c>
      <c r="E11" s="17" t="s">
        <v>15</v>
      </c>
      <c r="F11" s="13" t="s">
        <v>21</v>
      </c>
      <c r="K11" s="40"/>
    </row>
    <row r="12" spans="2:14">
      <c r="B12" s="21">
        <v>45646</v>
      </c>
      <c r="C12" s="22">
        <v>0.75</v>
      </c>
      <c r="D12" s="23" t="s">
        <v>13</v>
      </c>
      <c r="E12" s="23" t="s">
        <v>12</v>
      </c>
      <c r="F12" s="13" t="s">
        <v>21</v>
      </c>
      <c r="K12" s="40"/>
    </row>
    <row r="13" spans="2:14">
      <c r="B13" s="14">
        <v>45684</v>
      </c>
      <c r="C13" s="3">
        <v>0.4375</v>
      </c>
      <c r="D13" s="1" t="s">
        <v>3</v>
      </c>
      <c r="E13" s="17" t="s">
        <v>9</v>
      </c>
      <c r="F13" s="13" t="s">
        <v>21</v>
      </c>
    </row>
    <row r="14" spans="2:14">
      <c r="B14" s="14"/>
      <c r="C14" s="3"/>
      <c r="D14" s="1"/>
      <c r="E14" s="1"/>
      <c r="F14" s="13"/>
    </row>
    <row r="15" spans="2:14">
      <c r="B15" s="14"/>
      <c r="C15" s="3"/>
      <c r="D15" s="1"/>
      <c r="E15" s="1"/>
      <c r="F15" s="13"/>
    </row>
    <row r="16" spans="2:14">
      <c r="B16" s="14"/>
      <c r="C16" s="3"/>
      <c r="D16" s="1"/>
      <c r="E16" s="1"/>
      <c r="F16" s="4"/>
    </row>
    <row r="17" spans="2:6">
      <c r="B17" s="14"/>
      <c r="C17" s="3"/>
      <c r="D17" s="1"/>
      <c r="E17" s="1"/>
      <c r="F17" s="4"/>
    </row>
    <row r="18" spans="2:6">
      <c r="B18" s="14"/>
      <c r="C18" s="3"/>
      <c r="D18" s="1"/>
      <c r="E18" s="1"/>
      <c r="F18" s="4"/>
    </row>
    <row r="19" spans="2:6">
      <c r="B19" s="14"/>
      <c r="C19" s="3"/>
      <c r="D19" s="1"/>
      <c r="E19" s="1"/>
      <c r="F19" s="4"/>
    </row>
  </sheetData>
  <sortState xmlns:xlrd2="http://schemas.microsoft.com/office/spreadsheetml/2017/richdata2" ref="B3:F1048576">
    <sortCondition ref="B2"/>
    <sortCondition ref="C2"/>
  </sortState>
  <phoneticPr fontId="1"/>
  <hyperlinks>
    <hyperlink ref="F8" location="$F$8" tooltip="クリックしてください" display="=$F$2" xr:uid="{B3EDB02E-E83F-4E14-9EDA-92EFFC01E442}"/>
    <hyperlink ref="F3" location="$F$3" tooltip="クリックしてください" display="=$F$2" xr:uid="{68C94013-BD22-4CF4-8DD3-117B76794587}"/>
    <hyperlink ref="F6" location="$F$6" tooltip="クリックしてください" display="=$F$2" xr:uid="{97F55DB8-E5F5-4AD2-BA2B-352DEE7D993F}"/>
    <hyperlink ref="F4" location="$F$4" tooltip="クリックしてください" display="=$F$2" xr:uid="{7EB336A3-CBEE-4D43-B087-FEF1EE14BC52}"/>
    <hyperlink ref="F7" location="$F$7" tooltip="クリックしてください" display="=$F$2" xr:uid="{9B2B567A-3D98-479A-8E4F-D4CC49AC0353}"/>
    <hyperlink ref="F5" location="$F$5" tooltip="クリックしてください" display="=$F$2" xr:uid="{ADD85418-1885-4A93-8D5C-7154152C26F8}"/>
    <hyperlink ref="F9" location="$F$9" tooltip="クリックしてください" display="=$F$2" xr:uid="{3043D18F-FB22-4158-92BA-9B6D1A28C889}"/>
    <hyperlink ref="F10" location="$F$10" tooltip="クリックしてください" display="$F$10" xr:uid="{60366B91-1F2F-4942-95D1-68E3F5FFAFEB}"/>
    <hyperlink ref="F12" location="$F$12" tooltip="クリックしてください" display="$F$12" xr:uid="{BC485F63-B7D1-47ED-BFE5-C7948C7C50FC}"/>
    <hyperlink ref="F11" location="$F$11" tooltip="クリックしてください" display="　　" xr:uid="{699C3405-0C15-4E0D-9E45-D2E3BAB11015}"/>
    <hyperlink ref="F13" location="$F$13" tooltip="クリックしてください" display="　　" xr:uid="{36D2F6D4-6B55-46A9-BBF9-2966B466CD4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Write_Calendar">
                <anchor moveWithCells="1">
                  <from>
                    <xdr:col>7</xdr:col>
                    <xdr:colOff>28575</xdr:colOff>
                    <xdr:row>0</xdr:row>
                    <xdr:rowOff>161925</xdr:rowOff>
                  </from>
                  <to>
                    <xdr:col>8</xdr:col>
                    <xdr:colOff>666750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80A71-EF07-4668-B18F-CE7192E60847}">
  <sheetPr codeName="Sheet8"/>
  <dimension ref="B1:AC48"/>
  <sheetViews>
    <sheetView showGridLines="0" zoomScale="80" zoomScaleNormal="80" workbookViewId="0">
      <selection activeCell="R18" sqref="R18"/>
    </sheetView>
  </sheetViews>
  <sheetFormatPr defaultRowHeight="18.75"/>
  <cols>
    <col min="1" max="1" width="2.625" customWidth="1"/>
    <col min="2" max="2" width="17.75" bestFit="1" customWidth="1"/>
    <col min="3" max="3" width="5.875" bestFit="1" customWidth="1"/>
    <col min="4" max="4" width="10" bestFit="1" customWidth="1"/>
    <col min="5" max="5" width="3.875" bestFit="1" customWidth="1"/>
    <col min="6" max="6" width="17.75" bestFit="1" customWidth="1"/>
    <col min="7" max="7" width="5.875" bestFit="1" customWidth="1"/>
    <col min="8" max="8" width="10" bestFit="1" customWidth="1"/>
    <col min="9" max="9" width="3.875" bestFit="1" customWidth="1"/>
    <col min="10" max="10" width="17.75" bestFit="1" customWidth="1"/>
    <col min="11" max="11" width="5.875" bestFit="1" customWidth="1"/>
    <col min="12" max="12" width="10" bestFit="1" customWidth="1"/>
    <col min="13" max="13" width="3.875" bestFit="1" customWidth="1"/>
    <col min="14" max="14" width="17.75" bestFit="1" customWidth="1"/>
    <col min="15" max="15" width="5.875" bestFit="1" customWidth="1"/>
    <col min="16" max="16" width="10" bestFit="1" customWidth="1"/>
    <col min="17" max="17" width="3.875" bestFit="1" customWidth="1"/>
    <col min="18" max="18" width="17.75" bestFit="1" customWidth="1"/>
    <col min="19" max="19" width="5.875" bestFit="1" customWidth="1"/>
    <col min="20" max="20" width="10" bestFit="1" customWidth="1"/>
    <col min="21" max="21" width="3.875" bestFit="1" customWidth="1"/>
    <col min="22" max="22" width="17.75" bestFit="1" customWidth="1"/>
    <col min="23" max="23" width="5.875" bestFit="1" customWidth="1"/>
    <col min="24" max="24" width="10" bestFit="1" customWidth="1"/>
    <col min="25" max="25" width="3.875" bestFit="1" customWidth="1"/>
    <col min="26" max="26" width="17.75" bestFit="1" customWidth="1"/>
    <col min="27" max="27" width="5.875" bestFit="1" customWidth="1"/>
    <col min="28" max="28" width="10" bestFit="1" customWidth="1"/>
    <col min="29" max="29" width="3.875" bestFit="1" customWidth="1"/>
  </cols>
  <sheetData>
    <row r="1" spans="2:29" ht="3" customHeight="1">
      <c r="B1" s="19">
        <v>45627</v>
      </c>
      <c r="C1" s="2"/>
      <c r="D1" s="2"/>
      <c r="E1" s="2"/>
      <c r="F1" s="19">
        <v>45658</v>
      </c>
    </row>
    <row r="2" spans="2:29" ht="25.5">
      <c r="B2" s="38" t="s">
        <v>17</v>
      </c>
      <c r="C2" s="39"/>
      <c r="D2" s="39"/>
      <c r="E2" s="39"/>
      <c r="F2" s="39"/>
    </row>
    <row r="3" spans="2:29" ht="3" customHeight="1">
      <c r="B3" s="2">
        <v>1</v>
      </c>
      <c r="C3" s="2">
        <v>1</v>
      </c>
      <c r="D3" s="2">
        <v>1</v>
      </c>
      <c r="E3" s="2">
        <v>1</v>
      </c>
      <c r="F3" s="2">
        <f>B3+1</f>
        <v>2</v>
      </c>
      <c r="G3" s="2">
        <f t="shared" ref="G3:AC3" si="0">C3+1</f>
        <v>2</v>
      </c>
      <c r="H3" s="2">
        <f t="shared" si="0"/>
        <v>2</v>
      </c>
      <c r="I3" s="2">
        <f t="shared" si="0"/>
        <v>2</v>
      </c>
      <c r="J3" s="2">
        <f t="shared" si="0"/>
        <v>3</v>
      </c>
      <c r="K3" s="2">
        <f t="shared" si="0"/>
        <v>3</v>
      </c>
      <c r="L3" s="2">
        <f t="shared" si="0"/>
        <v>3</v>
      </c>
      <c r="M3" s="2">
        <f t="shared" si="0"/>
        <v>3</v>
      </c>
      <c r="N3" s="2">
        <f t="shared" si="0"/>
        <v>4</v>
      </c>
      <c r="O3" s="2">
        <f t="shared" si="0"/>
        <v>4</v>
      </c>
      <c r="P3" s="2">
        <f t="shared" si="0"/>
        <v>4</v>
      </c>
      <c r="Q3" s="2">
        <f t="shared" si="0"/>
        <v>4</v>
      </c>
      <c r="R3" s="2">
        <f t="shared" si="0"/>
        <v>5</v>
      </c>
      <c r="S3" s="2">
        <f t="shared" si="0"/>
        <v>5</v>
      </c>
      <c r="T3" s="2">
        <f t="shared" si="0"/>
        <v>5</v>
      </c>
      <c r="U3" s="2">
        <f t="shared" si="0"/>
        <v>5</v>
      </c>
      <c r="V3" s="2">
        <f t="shared" si="0"/>
        <v>6</v>
      </c>
      <c r="W3" s="2">
        <f t="shared" si="0"/>
        <v>6</v>
      </c>
      <c r="X3" s="2">
        <f t="shared" si="0"/>
        <v>6</v>
      </c>
      <c r="Y3" s="2">
        <f t="shared" si="0"/>
        <v>6</v>
      </c>
      <c r="Z3" s="2">
        <f t="shared" si="0"/>
        <v>7</v>
      </c>
      <c r="AA3" s="2">
        <f t="shared" si="0"/>
        <v>7</v>
      </c>
      <c r="AB3" s="2">
        <f t="shared" si="0"/>
        <v>7</v>
      </c>
      <c r="AC3" s="2">
        <f t="shared" si="0"/>
        <v>7</v>
      </c>
    </row>
    <row r="4" spans="2:29" ht="19.5">
      <c r="B4" s="26">
        <f>$B$1+B3-WEEKDAY($B$1,2)</f>
        <v>45621</v>
      </c>
      <c r="C4" s="27" t="str">
        <f>予定一覧!$C$2</f>
        <v>時間</v>
      </c>
      <c r="D4" s="27" t="str">
        <f>予定一覧!$E$2</f>
        <v>備考記入</v>
      </c>
      <c r="E4" s="28" t="str">
        <f>予定一覧!$F$2</f>
        <v>✓</v>
      </c>
      <c r="F4" s="26">
        <f t="shared" ref="F4" si="1">$B$1+F3-WEEKDAY($B$1,2)</f>
        <v>45622</v>
      </c>
      <c r="G4" s="27" t="str">
        <f>予定一覧!$C$2</f>
        <v>時間</v>
      </c>
      <c r="H4" s="27" t="str">
        <f>予定一覧!$E$2</f>
        <v>備考記入</v>
      </c>
      <c r="I4" s="28" t="str">
        <f>予定一覧!$F$2</f>
        <v>✓</v>
      </c>
      <c r="J4" s="26">
        <f t="shared" ref="J4" si="2">$B$1+J3-WEEKDAY($B$1,2)</f>
        <v>45623</v>
      </c>
      <c r="K4" s="27" t="str">
        <f>予定一覧!$C$2</f>
        <v>時間</v>
      </c>
      <c r="L4" s="27" t="str">
        <f>予定一覧!$E$2</f>
        <v>備考記入</v>
      </c>
      <c r="M4" s="28" t="str">
        <f>予定一覧!$F$2</f>
        <v>✓</v>
      </c>
      <c r="N4" s="26">
        <f t="shared" ref="N4" si="3">$B$1+N3-WEEKDAY($B$1,2)</f>
        <v>45624</v>
      </c>
      <c r="O4" s="27" t="str">
        <f>予定一覧!$C$2</f>
        <v>時間</v>
      </c>
      <c r="P4" s="27" t="str">
        <f>予定一覧!$E$2</f>
        <v>備考記入</v>
      </c>
      <c r="Q4" s="28" t="str">
        <f>予定一覧!$F$2</f>
        <v>✓</v>
      </c>
      <c r="R4" s="26">
        <f t="shared" ref="R4" si="4">$B$1+R3-WEEKDAY($B$1,2)</f>
        <v>45625</v>
      </c>
      <c r="S4" s="27" t="str">
        <f>予定一覧!$C$2</f>
        <v>時間</v>
      </c>
      <c r="T4" s="27" t="str">
        <f>予定一覧!$E$2</f>
        <v>備考記入</v>
      </c>
      <c r="U4" s="28" t="str">
        <f>予定一覧!$F$2</f>
        <v>✓</v>
      </c>
      <c r="V4" s="26">
        <f t="shared" ref="V4" si="5">$B$1+V3-WEEKDAY($B$1,2)</f>
        <v>45626</v>
      </c>
      <c r="W4" s="27" t="str">
        <f>予定一覧!$C$2</f>
        <v>時間</v>
      </c>
      <c r="X4" s="27" t="str">
        <f>予定一覧!$E$2</f>
        <v>備考記入</v>
      </c>
      <c r="Y4" s="28" t="str">
        <f>予定一覧!$F$2</f>
        <v>✓</v>
      </c>
      <c r="Z4" s="26">
        <f t="shared" ref="Z4" si="6">$B$1+Z3-WEEKDAY($B$1,2)</f>
        <v>45627</v>
      </c>
      <c r="AA4" s="27" t="str">
        <f>予定一覧!$C$2</f>
        <v>時間</v>
      </c>
      <c r="AB4" s="27" t="str">
        <f>予定一覧!$E$2</f>
        <v>備考記入</v>
      </c>
      <c r="AC4" s="28" t="str">
        <f>予定一覧!$F$2</f>
        <v>✓</v>
      </c>
    </row>
    <row r="5" spans="2:29">
      <c r="B5" s="5"/>
      <c r="C5" s="11"/>
      <c r="D5" s="15"/>
      <c r="E5" s="7"/>
      <c r="F5" s="5"/>
      <c r="G5" s="11"/>
      <c r="H5" s="15"/>
      <c r="I5" s="7"/>
      <c r="J5" s="5"/>
      <c r="K5" s="11"/>
      <c r="L5" s="15"/>
      <c r="M5" s="7"/>
      <c r="N5" s="5"/>
      <c r="O5" s="11"/>
      <c r="P5" s="15"/>
      <c r="Q5" s="7"/>
      <c r="R5" s="5"/>
      <c r="S5" s="11"/>
      <c r="T5" s="15"/>
      <c r="U5" s="7"/>
      <c r="V5" s="5"/>
      <c r="W5" s="11"/>
      <c r="X5" s="15"/>
      <c r="Y5" s="7"/>
      <c r="Z5" s="5"/>
      <c r="AA5" s="11"/>
      <c r="AB5" s="15"/>
      <c r="AC5" s="7"/>
    </row>
    <row r="6" spans="2:29">
      <c r="B6" s="5"/>
      <c r="C6" s="11"/>
      <c r="D6" s="15"/>
      <c r="E6" s="7"/>
      <c r="F6" s="5"/>
      <c r="G6" s="11"/>
      <c r="H6" s="15"/>
      <c r="I6" s="7"/>
      <c r="J6" s="5"/>
      <c r="K6" s="11"/>
      <c r="L6" s="15"/>
      <c r="M6" s="7"/>
      <c r="N6" s="5"/>
      <c r="O6" s="11"/>
      <c r="P6" s="15"/>
      <c r="Q6" s="7"/>
      <c r="R6" s="5"/>
      <c r="S6" s="11"/>
      <c r="T6" s="15"/>
      <c r="U6" s="7"/>
      <c r="V6" s="5"/>
      <c r="W6" s="11"/>
      <c r="X6" s="15"/>
      <c r="Y6" s="7"/>
      <c r="Z6" s="5"/>
      <c r="AA6" s="11"/>
      <c r="AB6" s="15"/>
      <c r="AC6" s="7"/>
    </row>
    <row r="7" spans="2:29">
      <c r="B7" s="6"/>
      <c r="C7" s="12"/>
      <c r="D7" s="16"/>
      <c r="E7" s="8"/>
      <c r="F7" s="6"/>
      <c r="G7" s="12"/>
      <c r="H7" s="16"/>
      <c r="I7" s="8"/>
      <c r="J7" s="6"/>
      <c r="K7" s="12"/>
      <c r="L7" s="16"/>
      <c r="M7" s="8"/>
      <c r="N7" s="6"/>
      <c r="O7" s="12"/>
      <c r="P7" s="16"/>
      <c r="Q7" s="8"/>
      <c r="R7" s="6"/>
      <c r="S7" s="12"/>
      <c r="T7" s="16"/>
      <c r="U7" s="8"/>
      <c r="V7" s="6"/>
      <c r="W7" s="12"/>
      <c r="X7" s="16"/>
      <c r="Y7" s="8"/>
      <c r="Z7" s="6"/>
      <c r="AA7" s="12"/>
      <c r="AB7" s="16"/>
      <c r="AC7" s="8"/>
    </row>
    <row r="8" spans="2:29" ht="19.5">
      <c r="B8" s="26">
        <f>B4+7</f>
        <v>45628</v>
      </c>
      <c r="C8" s="27" t="str">
        <f>C4</f>
        <v>時間</v>
      </c>
      <c r="D8" s="27" t="str">
        <f>D4</f>
        <v>備考記入</v>
      </c>
      <c r="E8" s="28" t="str">
        <f>予定一覧!$F$2</f>
        <v>✓</v>
      </c>
      <c r="F8" s="26">
        <f t="shared" ref="F8:AC8" si="7">F4+7</f>
        <v>45629</v>
      </c>
      <c r="G8" s="27" t="str">
        <f t="shared" ref="G8:AC8" si="8">G4</f>
        <v>時間</v>
      </c>
      <c r="H8" s="27" t="str">
        <f t="shared" si="8"/>
        <v>備考記入</v>
      </c>
      <c r="I8" s="28" t="str">
        <f>予定一覧!$F$2</f>
        <v>✓</v>
      </c>
      <c r="J8" s="26">
        <f t="shared" ref="J8:AC8" si="9">J4+7</f>
        <v>45630</v>
      </c>
      <c r="K8" s="27" t="str">
        <f t="shared" ref="K8:AC8" si="10">K4</f>
        <v>時間</v>
      </c>
      <c r="L8" s="27" t="str">
        <f t="shared" si="10"/>
        <v>備考記入</v>
      </c>
      <c r="M8" s="28" t="str">
        <f>予定一覧!$F$2</f>
        <v>✓</v>
      </c>
      <c r="N8" s="26">
        <f t="shared" ref="N8:AC8" si="11">N4+7</f>
        <v>45631</v>
      </c>
      <c r="O8" s="27" t="str">
        <f t="shared" ref="O8:AC8" si="12">O4</f>
        <v>時間</v>
      </c>
      <c r="P8" s="27" t="str">
        <f t="shared" si="12"/>
        <v>備考記入</v>
      </c>
      <c r="Q8" s="28" t="str">
        <f>予定一覧!$F$2</f>
        <v>✓</v>
      </c>
      <c r="R8" s="26">
        <f t="shared" ref="R8:AC8" si="13">R4+7</f>
        <v>45632</v>
      </c>
      <c r="S8" s="27" t="str">
        <f t="shared" ref="S8:AC8" si="14">S4</f>
        <v>時間</v>
      </c>
      <c r="T8" s="27" t="str">
        <f t="shared" si="14"/>
        <v>備考記入</v>
      </c>
      <c r="U8" s="28" t="str">
        <f>予定一覧!$F$2</f>
        <v>✓</v>
      </c>
      <c r="V8" s="26">
        <f t="shared" ref="V8:AC8" si="15">V4+7</f>
        <v>45633</v>
      </c>
      <c r="W8" s="27" t="str">
        <f t="shared" ref="W8:AC8" si="16">W4</f>
        <v>時間</v>
      </c>
      <c r="X8" s="27" t="str">
        <f t="shared" si="16"/>
        <v>備考記入</v>
      </c>
      <c r="Y8" s="28" t="str">
        <f>予定一覧!$F$2</f>
        <v>✓</v>
      </c>
      <c r="Z8" s="26">
        <f t="shared" ref="Z8:AC8" si="17">Z4+7</f>
        <v>45634</v>
      </c>
      <c r="AA8" s="27" t="str">
        <f t="shared" ref="AA8:AC8" si="18">AA4</f>
        <v>時間</v>
      </c>
      <c r="AB8" s="27" t="str">
        <f t="shared" si="18"/>
        <v>備考記入</v>
      </c>
      <c r="AC8" s="28" t="str">
        <f>予定一覧!$F$2</f>
        <v>✓</v>
      </c>
    </row>
    <row r="9" spans="2:29">
      <c r="B9" s="32" t="str">
        <f>HYPERLINK("#予定一覧!$D$3",IF(予定一覧!$D$3="","",予定一覧!$D$3))</f>
        <v>●●市役所</v>
      </c>
      <c r="C9" s="33">
        <f>HYPERLINK("#予定一覧!$C$3",IF(予定一覧!$C$3="","",予定一覧!$C$3))</f>
        <v>0.41666666666666669</v>
      </c>
      <c r="D9" s="34" t="str">
        <f>HYPERLINK("#予定一覧!$E$3",IF(予定一覧!$E$3="","",予定一覧!$E$3))</f>
        <v>1階市民課</v>
      </c>
      <c r="E9" s="9" t="str">
        <f>IF(予定一覧!$F$3="","　",予定一覧!$F$3)</f>
        <v>✓</v>
      </c>
      <c r="F9" s="32" t="str">
        <f>HYPERLINK("#予定一覧!$D$7",IF(予定一覧!$D$7="","",予定一覧!$D$7))</f>
        <v>▲▲提出</v>
      </c>
      <c r="G9" s="33" t="str">
        <f>HYPERLINK("#予定一覧!$C$7",IF(予定一覧!$C$7="","",予定一覧!$C$7))</f>
        <v>PM</v>
      </c>
      <c r="H9" s="34" t="str">
        <f>HYPERLINK("#予定一覧!$E$7",IF(予定一覧!$E$7="","",予定一覧!$E$7))</f>
        <v/>
      </c>
      <c r="I9" s="9" t="str">
        <f>IF(予定一覧!$F$7="","　",予定一覧!$F$7)</f>
        <v>✓</v>
      </c>
      <c r="J9" s="5"/>
      <c r="K9" s="11"/>
      <c r="L9" s="15"/>
      <c r="M9" s="7"/>
      <c r="N9" s="5"/>
      <c r="O9" s="11"/>
      <c r="P9" s="15"/>
      <c r="Q9" s="7"/>
      <c r="R9" s="32" t="str">
        <f>HYPERLINK("#予定一覧!$D$8",IF(予定一覧!$D$8="","",予定一覧!$D$8))</f>
        <v>▲▲提出</v>
      </c>
      <c r="S9" s="33" t="str">
        <f>HYPERLINK("#予定一覧!$C$8",IF(予定一覧!$C$8="","",予定一覧!$C$8))</f>
        <v/>
      </c>
      <c r="T9" s="34" t="str">
        <f>HYPERLINK("#予定一覧!$E$8",IF(予定一覧!$E$8="","",予定一覧!$E$8))</f>
        <v/>
      </c>
      <c r="U9" s="9" t="str">
        <f>IF(予定一覧!$F$8="","　",予定一覧!$F$8)</f>
        <v>✓</v>
      </c>
      <c r="V9" s="5"/>
      <c r="W9" s="11"/>
      <c r="X9" s="15"/>
      <c r="Y9" s="7"/>
      <c r="Z9" s="5"/>
      <c r="AA9" s="11"/>
      <c r="AB9" s="15"/>
      <c r="AC9" s="7"/>
    </row>
    <row r="10" spans="2:29">
      <c r="B10" s="32" t="str">
        <f>HYPERLINK("#予定一覧!$D$4",IF(予定一覧!$D$4="","",予定一覧!$D$4))</f>
        <v>●●提出</v>
      </c>
      <c r="C10" s="33">
        <f>HYPERLINK("#予定一覧!$C$4",IF(予定一覧!$C$4="","",予定一覧!$C$4))</f>
        <v>0.72916666666666663</v>
      </c>
      <c r="D10" s="34" t="str">
        <f>HYPERLINK("#予定一覧!$E$4",IF(予定一覧!$E$4="","",予定一覧!$E$4))</f>
        <v/>
      </c>
      <c r="E10" s="9" t="str">
        <f>IF(予定一覧!$F$4="","　",予定一覧!$F$4)</f>
        <v>✓</v>
      </c>
      <c r="F10" s="5"/>
      <c r="G10" s="11"/>
      <c r="H10" s="15"/>
      <c r="I10" s="7"/>
      <c r="J10" s="5"/>
      <c r="K10" s="11"/>
      <c r="L10" s="15"/>
      <c r="M10" s="7"/>
      <c r="N10" s="5"/>
      <c r="O10" s="11"/>
      <c r="P10" s="15"/>
      <c r="Q10" s="7"/>
      <c r="R10" s="5"/>
      <c r="S10" s="11"/>
      <c r="T10" s="15"/>
      <c r="U10" s="7"/>
      <c r="V10" s="5"/>
      <c r="W10" s="11"/>
      <c r="X10" s="15"/>
      <c r="Y10" s="7"/>
      <c r="Z10" s="5"/>
      <c r="AA10" s="11"/>
      <c r="AB10" s="15"/>
      <c r="AC10" s="7"/>
    </row>
    <row r="11" spans="2:29">
      <c r="B11" s="32" t="str">
        <f>HYPERLINK("#予定一覧!$D$5",IF(予定一覧!$D$5="","",予定一覧!$D$5))</f>
        <v>▲▲提出</v>
      </c>
      <c r="C11" s="33" t="str">
        <f>HYPERLINK("#予定一覧!$C$5",IF(予定一覧!$C$5="","",予定一覧!$C$5))</f>
        <v>PM</v>
      </c>
      <c r="D11" s="34" t="str">
        <f>HYPERLINK("#予定一覧!$E$5",IF(予定一覧!$E$5="","",予定一覧!$E$5))</f>
        <v/>
      </c>
      <c r="E11" s="9" t="str">
        <f>IF(予定一覧!$F$5="","　",予定一覧!$F$5)</f>
        <v>✓</v>
      </c>
      <c r="F11" s="5"/>
      <c r="G11" s="11"/>
      <c r="H11" s="15"/>
      <c r="I11" s="7"/>
      <c r="J11" s="5"/>
      <c r="K11" s="11"/>
      <c r="L11" s="15"/>
      <c r="M11" s="7"/>
      <c r="N11" s="5"/>
      <c r="O11" s="11"/>
      <c r="P11" s="15"/>
      <c r="Q11" s="7"/>
      <c r="R11" s="5"/>
      <c r="S11" s="11"/>
      <c r="T11" s="15"/>
      <c r="U11" s="7"/>
      <c r="V11" s="5"/>
      <c r="W11" s="11"/>
      <c r="X11" s="15"/>
      <c r="Y11" s="7"/>
      <c r="Z11" s="5"/>
      <c r="AA11" s="11"/>
      <c r="AB11" s="15"/>
      <c r="AC11" s="7"/>
    </row>
    <row r="12" spans="2:29">
      <c r="B12" s="35" t="str">
        <f>HYPERLINK("#予定一覧!$D$6",IF(予定一覧!$D$6="","",予定一覧!$D$6))</f>
        <v>●●へ電話</v>
      </c>
      <c r="C12" s="36" t="str">
        <f>HYPERLINK("#予定一覧!$C$6",IF(予定一覧!$C$6="","",予定一覧!$C$6))</f>
        <v/>
      </c>
      <c r="D12" s="37" t="str">
        <f>HYPERLINK("#予定一覧!$E$6",IF(予定一覧!$E$6="","",予定一覧!$E$6))</f>
        <v>内線：201</v>
      </c>
      <c r="E12" s="10" t="str">
        <f>IF(予定一覧!$F$6="","　",予定一覧!$F$6)</f>
        <v>✓</v>
      </c>
      <c r="F12" s="6"/>
      <c r="G12" s="12"/>
      <c r="H12" s="16"/>
      <c r="I12" s="8"/>
      <c r="J12" s="6"/>
      <c r="K12" s="12"/>
      <c r="L12" s="16"/>
      <c r="M12" s="8"/>
      <c r="N12" s="6"/>
      <c r="O12" s="12"/>
      <c r="P12" s="16"/>
      <c r="Q12" s="8"/>
      <c r="R12" s="6"/>
      <c r="S12" s="12"/>
      <c r="T12" s="16"/>
      <c r="U12" s="8"/>
      <c r="V12" s="6"/>
      <c r="W12" s="12"/>
      <c r="X12" s="16"/>
      <c r="Y12" s="8"/>
      <c r="Z12" s="6"/>
      <c r="AA12" s="12"/>
      <c r="AB12" s="16"/>
      <c r="AC12" s="8"/>
    </row>
    <row r="13" spans="2:29" ht="19.5">
      <c r="B13" s="26">
        <f t="shared" ref="B13" si="19">B8+7</f>
        <v>45635</v>
      </c>
      <c r="C13" s="27" t="str">
        <f t="shared" ref="C13:D13" si="20">C8</f>
        <v>時間</v>
      </c>
      <c r="D13" s="27" t="str">
        <f t="shared" si="20"/>
        <v>備考記入</v>
      </c>
      <c r="E13" s="28" t="str">
        <f>予定一覧!$F$2</f>
        <v>✓</v>
      </c>
      <c r="F13" s="26">
        <f t="shared" ref="F13:AC13" si="21">F8+7</f>
        <v>45636</v>
      </c>
      <c r="G13" s="27" t="str">
        <f t="shared" ref="G13:AC13" si="22">G8</f>
        <v>時間</v>
      </c>
      <c r="H13" s="27" t="str">
        <f t="shared" si="22"/>
        <v>備考記入</v>
      </c>
      <c r="I13" s="28" t="str">
        <f>予定一覧!$F$2</f>
        <v>✓</v>
      </c>
      <c r="J13" s="26">
        <f t="shared" si="21"/>
        <v>45637</v>
      </c>
      <c r="K13" s="27" t="str">
        <f t="shared" ref="K13:AC13" si="23">K8</f>
        <v>時間</v>
      </c>
      <c r="L13" s="27" t="str">
        <f t="shared" si="23"/>
        <v>備考記入</v>
      </c>
      <c r="M13" s="28" t="str">
        <f>予定一覧!$F$2</f>
        <v>✓</v>
      </c>
      <c r="N13" s="26">
        <f t="shared" si="21"/>
        <v>45638</v>
      </c>
      <c r="O13" s="27" t="str">
        <f t="shared" ref="O13:AC13" si="24">O8</f>
        <v>時間</v>
      </c>
      <c r="P13" s="27" t="str">
        <f t="shared" si="24"/>
        <v>備考記入</v>
      </c>
      <c r="Q13" s="28" t="str">
        <f>予定一覧!$F$2</f>
        <v>✓</v>
      </c>
      <c r="R13" s="26">
        <f t="shared" si="21"/>
        <v>45639</v>
      </c>
      <c r="S13" s="27" t="str">
        <f t="shared" ref="S13:AC13" si="25">S8</f>
        <v>時間</v>
      </c>
      <c r="T13" s="27" t="str">
        <f t="shared" si="25"/>
        <v>備考記入</v>
      </c>
      <c r="U13" s="28" t="str">
        <f>予定一覧!$F$2</f>
        <v>✓</v>
      </c>
      <c r="V13" s="26">
        <f t="shared" si="21"/>
        <v>45640</v>
      </c>
      <c r="W13" s="27" t="str">
        <f t="shared" ref="W13:AC13" si="26">W8</f>
        <v>時間</v>
      </c>
      <c r="X13" s="27" t="str">
        <f t="shared" si="26"/>
        <v>備考記入</v>
      </c>
      <c r="Y13" s="28" t="str">
        <f>予定一覧!$F$2</f>
        <v>✓</v>
      </c>
      <c r="Z13" s="26">
        <f t="shared" si="21"/>
        <v>45641</v>
      </c>
      <c r="AA13" s="27" t="str">
        <f t="shared" ref="AA13:AC13" si="27">AA8</f>
        <v>時間</v>
      </c>
      <c r="AB13" s="27" t="str">
        <f t="shared" si="27"/>
        <v>備考記入</v>
      </c>
      <c r="AC13" s="28" t="str">
        <f>予定一覧!$F$2</f>
        <v>✓</v>
      </c>
    </row>
    <row r="14" spans="2:29">
      <c r="B14" s="5"/>
      <c r="C14" s="11"/>
      <c r="D14" s="15"/>
      <c r="E14" s="7"/>
      <c r="F14" s="32" t="str">
        <f>HYPERLINK("#予定一覧!$D$9",IF(予定一覧!$D$9="","",予定一覧!$D$9))</f>
        <v>●●へ電話</v>
      </c>
      <c r="G14" s="33" t="str">
        <f>HYPERLINK("#予定一覧!$C$9",IF(予定一覧!$C$9="","",予定一覧!$C$9))</f>
        <v>AM</v>
      </c>
      <c r="H14" s="34" t="str">
        <f>HYPERLINK("#予定一覧!$E$9",IF(予定一覧!$E$9="","",予定一覧!$E$9))</f>
        <v/>
      </c>
      <c r="I14" s="9" t="str">
        <f>IF(予定一覧!$F$9="","　",予定一覧!$F$9)</f>
        <v>✓</v>
      </c>
      <c r="J14" s="5"/>
      <c r="K14" s="11"/>
      <c r="L14" s="15"/>
      <c r="M14" s="7"/>
      <c r="N14" s="5"/>
      <c r="O14" s="11"/>
      <c r="P14" s="15"/>
      <c r="Q14" s="7"/>
      <c r="R14" s="32" t="str">
        <f>HYPERLINK("#予定一覧!$D$10",IF(予定一覧!$D$10="","",予定一覧!$D$10))</f>
        <v>●●提出</v>
      </c>
      <c r="S14" s="33" t="str">
        <f>HYPERLINK("#予定一覧!$C$10",IF(予定一覧!$C$10="","",予定一覧!$C$10))</f>
        <v>AM</v>
      </c>
      <c r="T14" s="34" t="str">
        <f>HYPERLINK("#予定一覧!$E$10",IF(予定一覧!$E$10="","",予定一覧!$E$10))</f>
        <v>連絡待ち</v>
      </c>
      <c r="U14" s="9" t="str">
        <f>IF(予定一覧!$F$10="","　",予定一覧!$F$10)</f>
        <v>　　</v>
      </c>
      <c r="V14" s="5"/>
      <c r="W14" s="11"/>
      <c r="X14" s="15"/>
      <c r="Y14" s="7"/>
      <c r="Z14" s="5"/>
      <c r="AA14" s="11"/>
      <c r="AB14" s="15"/>
      <c r="AC14" s="7"/>
    </row>
    <row r="15" spans="2:29">
      <c r="B15" s="5"/>
      <c r="C15" s="11"/>
      <c r="D15" s="15"/>
      <c r="E15" s="7"/>
      <c r="F15" s="5"/>
      <c r="G15" s="11"/>
      <c r="H15" s="15"/>
      <c r="I15" s="7"/>
      <c r="J15" s="5"/>
      <c r="K15" s="11"/>
      <c r="L15" s="15"/>
      <c r="M15" s="7"/>
      <c r="N15" s="5"/>
      <c r="O15" s="11"/>
      <c r="P15" s="15"/>
      <c r="Q15" s="7"/>
      <c r="R15" s="5"/>
      <c r="S15" s="11"/>
      <c r="T15" s="15"/>
      <c r="U15" s="7"/>
      <c r="V15" s="5"/>
      <c r="W15" s="11"/>
      <c r="X15" s="15"/>
      <c r="Y15" s="7"/>
      <c r="Z15" s="5"/>
      <c r="AA15" s="11"/>
      <c r="AB15" s="15"/>
      <c r="AC15" s="7"/>
    </row>
    <row r="16" spans="2:29">
      <c r="B16" s="6"/>
      <c r="C16" s="12"/>
      <c r="D16" s="16"/>
      <c r="E16" s="8"/>
      <c r="F16" s="6"/>
      <c r="G16" s="12"/>
      <c r="H16" s="16"/>
      <c r="I16" s="8"/>
      <c r="J16" s="6"/>
      <c r="K16" s="12"/>
      <c r="L16" s="16"/>
      <c r="M16" s="8"/>
      <c r="N16" s="6"/>
      <c r="O16" s="12"/>
      <c r="P16" s="16"/>
      <c r="Q16" s="8"/>
      <c r="R16" s="6"/>
      <c r="S16" s="12"/>
      <c r="T16" s="16"/>
      <c r="U16" s="8"/>
      <c r="V16" s="6"/>
      <c r="W16" s="12"/>
      <c r="X16" s="16"/>
      <c r="Y16" s="8"/>
      <c r="Z16" s="6"/>
      <c r="AA16" s="12"/>
      <c r="AB16" s="16"/>
      <c r="AC16" s="8"/>
    </row>
    <row r="17" spans="2:29" ht="19.5">
      <c r="B17" s="26">
        <f t="shared" ref="B17" si="28">B13+7</f>
        <v>45642</v>
      </c>
      <c r="C17" s="27" t="str">
        <f t="shared" ref="C17:D17" si="29">C13</f>
        <v>時間</v>
      </c>
      <c r="D17" s="27" t="str">
        <f t="shared" si="29"/>
        <v>備考記入</v>
      </c>
      <c r="E17" s="28" t="str">
        <f>予定一覧!$F$2</f>
        <v>✓</v>
      </c>
      <c r="F17" s="26">
        <f t="shared" ref="F17:AC17" si="30">F13+7</f>
        <v>45643</v>
      </c>
      <c r="G17" s="27" t="str">
        <f t="shared" ref="G17:AC17" si="31">G13</f>
        <v>時間</v>
      </c>
      <c r="H17" s="27" t="str">
        <f t="shared" si="31"/>
        <v>備考記入</v>
      </c>
      <c r="I17" s="28" t="str">
        <f>予定一覧!$F$2</f>
        <v>✓</v>
      </c>
      <c r="J17" s="26">
        <f t="shared" si="30"/>
        <v>45644</v>
      </c>
      <c r="K17" s="27" t="str">
        <f t="shared" ref="K17:AC17" si="32">K13</f>
        <v>時間</v>
      </c>
      <c r="L17" s="27" t="str">
        <f t="shared" si="32"/>
        <v>備考記入</v>
      </c>
      <c r="M17" s="28" t="str">
        <f>予定一覧!$F$2</f>
        <v>✓</v>
      </c>
      <c r="N17" s="26">
        <f t="shared" si="30"/>
        <v>45645</v>
      </c>
      <c r="O17" s="27" t="str">
        <f t="shared" ref="O17:AC17" si="33">O13</f>
        <v>時間</v>
      </c>
      <c r="P17" s="27" t="str">
        <f t="shared" si="33"/>
        <v>備考記入</v>
      </c>
      <c r="Q17" s="28" t="str">
        <f>予定一覧!$F$2</f>
        <v>✓</v>
      </c>
      <c r="R17" s="26">
        <f t="shared" si="30"/>
        <v>45646</v>
      </c>
      <c r="S17" s="27" t="str">
        <f t="shared" ref="S17:AC17" si="34">S13</f>
        <v>時間</v>
      </c>
      <c r="T17" s="27" t="str">
        <f t="shared" si="34"/>
        <v>備考記入</v>
      </c>
      <c r="U17" s="28" t="str">
        <f>予定一覧!$F$2</f>
        <v>✓</v>
      </c>
      <c r="V17" s="26">
        <f t="shared" si="30"/>
        <v>45647</v>
      </c>
      <c r="W17" s="27" t="str">
        <f t="shared" ref="W17:AC17" si="35">W13</f>
        <v>時間</v>
      </c>
      <c r="X17" s="27" t="str">
        <f t="shared" si="35"/>
        <v>備考記入</v>
      </c>
      <c r="Y17" s="28" t="str">
        <f>予定一覧!$F$2</f>
        <v>✓</v>
      </c>
      <c r="Z17" s="26">
        <f t="shared" si="30"/>
        <v>45648</v>
      </c>
      <c r="AA17" s="27" t="str">
        <f t="shared" ref="AA17:AC17" si="36">AA13</f>
        <v>時間</v>
      </c>
      <c r="AB17" s="27" t="str">
        <f t="shared" si="36"/>
        <v>備考記入</v>
      </c>
      <c r="AC17" s="28" t="str">
        <f>予定一覧!$F$2</f>
        <v>✓</v>
      </c>
    </row>
    <row r="18" spans="2:29">
      <c r="B18" s="32" t="str">
        <f>HYPERLINK("#予定一覧!$D$11",IF(予定一覧!$D$11="","",予定一覧!$D$11))</f>
        <v>●●会議</v>
      </c>
      <c r="C18" s="33">
        <f>HYPERLINK("#予定一覧!$C$11",IF(予定一覧!$C$11="","",予定一覧!$C$11))</f>
        <v>0.60416666666666663</v>
      </c>
      <c r="D18" s="34" t="str">
        <f>HYPERLINK("#予定一覧!$E$11",IF(予定一覧!$E$11="","",予定一覧!$E$11))</f>
        <v>資料持参</v>
      </c>
      <c r="E18" s="9" t="str">
        <f>IF(予定一覧!$F$11="","　",予定一覧!$F$11)</f>
        <v>　　</v>
      </c>
      <c r="F18" s="5"/>
      <c r="G18" s="11"/>
      <c r="H18" s="15"/>
      <c r="I18" s="7"/>
      <c r="J18" s="5"/>
      <c r="K18" s="11"/>
      <c r="L18" s="15"/>
      <c r="M18" s="7"/>
      <c r="N18" s="5"/>
      <c r="O18" s="11"/>
      <c r="P18" s="15"/>
      <c r="Q18" s="7"/>
      <c r="R18" s="32" t="str">
        <f>HYPERLINK("#予定一覧!$D$12",IF(予定一覧!$D$12="","",予定一覧!$D$12))</f>
        <v>忘年会</v>
      </c>
      <c r="S18" s="33">
        <f>HYPERLINK("#予定一覧!$C$12",IF(予定一覧!$C$12="","",予定一覧!$C$12))</f>
        <v>0.75</v>
      </c>
      <c r="T18" s="34" t="str">
        <f>HYPERLINK("#予定一覧!$E$12",IF(予定一覧!$E$12="","",予定一覧!$E$12))</f>
        <v>会費 5000円</v>
      </c>
      <c r="U18" s="9" t="str">
        <f>IF(予定一覧!$F$12="","　",予定一覧!$F$12)</f>
        <v>　　</v>
      </c>
      <c r="V18" s="5"/>
      <c r="W18" s="11"/>
      <c r="X18" s="15"/>
      <c r="Y18" s="7"/>
      <c r="Z18" s="5"/>
      <c r="AA18" s="11"/>
      <c r="AB18" s="15"/>
      <c r="AC18" s="7"/>
    </row>
    <row r="19" spans="2:29">
      <c r="B19" s="5"/>
      <c r="C19" s="11"/>
      <c r="D19" s="15"/>
      <c r="E19" s="7"/>
      <c r="F19" s="5"/>
      <c r="G19" s="11"/>
      <c r="H19" s="15"/>
      <c r="I19" s="7"/>
      <c r="J19" s="5"/>
      <c r="K19" s="11"/>
      <c r="L19" s="15"/>
      <c r="M19" s="7"/>
      <c r="N19" s="5"/>
      <c r="O19" s="11"/>
      <c r="P19" s="15"/>
      <c r="Q19" s="7"/>
      <c r="R19" s="5"/>
      <c r="S19" s="11"/>
      <c r="T19" s="15"/>
      <c r="U19" s="7"/>
      <c r="V19" s="5"/>
      <c r="W19" s="11"/>
      <c r="X19" s="15"/>
      <c r="Y19" s="7"/>
      <c r="Z19" s="5"/>
      <c r="AA19" s="11"/>
      <c r="AB19" s="15"/>
      <c r="AC19" s="7"/>
    </row>
    <row r="20" spans="2:29">
      <c r="B20" s="6"/>
      <c r="C20" s="12"/>
      <c r="D20" s="16"/>
      <c r="E20" s="8"/>
      <c r="F20" s="6"/>
      <c r="G20" s="12"/>
      <c r="H20" s="16"/>
      <c r="I20" s="8"/>
      <c r="J20" s="6"/>
      <c r="K20" s="12"/>
      <c r="L20" s="16"/>
      <c r="M20" s="8"/>
      <c r="N20" s="6"/>
      <c r="O20" s="12"/>
      <c r="P20" s="16"/>
      <c r="Q20" s="8"/>
      <c r="R20" s="6"/>
      <c r="S20" s="12"/>
      <c r="T20" s="16"/>
      <c r="U20" s="8"/>
      <c r="V20" s="6"/>
      <c r="W20" s="12"/>
      <c r="X20" s="16"/>
      <c r="Y20" s="8"/>
      <c r="Z20" s="6"/>
      <c r="AA20" s="12"/>
      <c r="AB20" s="16"/>
      <c r="AC20" s="8"/>
    </row>
    <row r="21" spans="2:29" ht="19.5">
      <c r="B21" s="26">
        <f t="shared" ref="B21" si="37">B17+7</f>
        <v>45649</v>
      </c>
      <c r="C21" s="27" t="str">
        <f t="shared" ref="C21:D21" si="38">C17</f>
        <v>時間</v>
      </c>
      <c r="D21" s="27" t="str">
        <f t="shared" si="38"/>
        <v>備考記入</v>
      </c>
      <c r="E21" s="28" t="str">
        <f>予定一覧!$F$2</f>
        <v>✓</v>
      </c>
      <c r="F21" s="26">
        <f t="shared" ref="F21:AC21" si="39">F17+7</f>
        <v>45650</v>
      </c>
      <c r="G21" s="27" t="str">
        <f t="shared" ref="G21:AC21" si="40">G17</f>
        <v>時間</v>
      </c>
      <c r="H21" s="27" t="str">
        <f t="shared" si="40"/>
        <v>備考記入</v>
      </c>
      <c r="I21" s="28" t="str">
        <f>予定一覧!$F$2</f>
        <v>✓</v>
      </c>
      <c r="J21" s="26">
        <f t="shared" si="39"/>
        <v>45651</v>
      </c>
      <c r="K21" s="27" t="str">
        <f t="shared" ref="K21:AC21" si="41">K17</f>
        <v>時間</v>
      </c>
      <c r="L21" s="27" t="str">
        <f t="shared" si="41"/>
        <v>備考記入</v>
      </c>
      <c r="M21" s="28" t="str">
        <f>予定一覧!$F$2</f>
        <v>✓</v>
      </c>
      <c r="N21" s="26">
        <f t="shared" si="39"/>
        <v>45652</v>
      </c>
      <c r="O21" s="27" t="str">
        <f t="shared" ref="O21:AC21" si="42">O17</f>
        <v>時間</v>
      </c>
      <c r="P21" s="27" t="str">
        <f t="shared" si="42"/>
        <v>備考記入</v>
      </c>
      <c r="Q21" s="28" t="str">
        <f>予定一覧!$F$2</f>
        <v>✓</v>
      </c>
      <c r="R21" s="26">
        <f t="shared" si="39"/>
        <v>45653</v>
      </c>
      <c r="S21" s="27" t="str">
        <f t="shared" ref="S21:AC21" si="43">S17</f>
        <v>時間</v>
      </c>
      <c r="T21" s="27" t="str">
        <f t="shared" si="43"/>
        <v>備考記入</v>
      </c>
      <c r="U21" s="28" t="str">
        <f>予定一覧!$F$2</f>
        <v>✓</v>
      </c>
      <c r="V21" s="26">
        <f t="shared" si="39"/>
        <v>45654</v>
      </c>
      <c r="W21" s="27" t="str">
        <f t="shared" ref="W21:AC21" si="44">W17</f>
        <v>時間</v>
      </c>
      <c r="X21" s="27" t="str">
        <f t="shared" si="44"/>
        <v>備考記入</v>
      </c>
      <c r="Y21" s="28" t="str">
        <f>予定一覧!$F$2</f>
        <v>✓</v>
      </c>
      <c r="Z21" s="26">
        <f t="shared" si="39"/>
        <v>45655</v>
      </c>
      <c r="AA21" s="27" t="str">
        <f t="shared" ref="AA21:AC21" si="45">AA17</f>
        <v>時間</v>
      </c>
      <c r="AB21" s="27" t="str">
        <f t="shared" si="45"/>
        <v>備考記入</v>
      </c>
      <c r="AC21" s="28" t="str">
        <f>予定一覧!$F$2</f>
        <v>✓</v>
      </c>
    </row>
    <row r="22" spans="2:29">
      <c r="B22" s="5"/>
      <c r="C22" s="11"/>
      <c r="D22" s="15"/>
      <c r="E22" s="7"/>
      <c r="F22" s="5"/>
      <c r="G22" s="11"/>
      <c r="H22" s="15"/>
      <c r="I22" s="7"/>
      <c r="J22" s="5"/>
      <c r="K22" s="11"/>
      <c r="L22" s="15"/>
      <c r="M22" s="7"/>
      <c r="N22" s="5"/>
      <c r="O22" s="11"/>
      <c r="P22" s="15"/>
      <c r="Q22" s="7"/>
      <c r="R22" s="5"/>
      <c r="S22" s="11"/>
      <c r="T22" s="15"/>
      <c r="U22" s="7"/>
      <c r="V22" s="5"/>
      <c r="W22" s="11"/>
      <c r="X22" s="15"/>
      <c r="Y22" s="7"/>
      <c r="Z22" s="5"/>
      <c r="AA22" s="11"/>
      <c r="AB22" s="15"/>
      <c r="AC22" s="7"/>
    </row>
    <row r="23" spans="2:29">
      <c r="B23" s="5"/>
      <c r="C23" s="11"/>
      <c r="D23" s="15"/>
      <c r="E23" s="7"/>
      <c r="F23" s="5"/>
      <c r="G23" s="11"/>
      <c r="H23" s="15"/>
      <c r="I23" s="7"/>
      <c r="J23" s="5"/>
      <c r="K23" s="11"/>
      <c r="L23" s="15"/>
      <c r="M23" s="7"/>
      <c r="N23" s="5"/>
      <c r="O23" s="11"/>
      <c r="P23" s="15"/>
      <c r="Q23" s="7"/>
      <c r="R23" s="5"/>
      <c r="S23" s="11"/>
      <c r="T23" s="15"/>
      <c r="U23" s="7"/>
      <c r="V23" s="5"/>
      <c r="W23" s="11"/>
      <c r="X23" s="15"/>
      <c r="Y23" s="7"/>
      <c r="Z23" s="5"/>
      <c r="AA23" s="11"/>
      <c r="AB23" s="15"/>
      <c r="AC23" s="7"/>
    </row>
    <row r="24" spans="2:29">
      <c r="B24" s="6"/>
      <c r="C24" s="12"/>
      <c r="D24" s="16"/>
      <c r="E24" s="8"/>
      <c r="F24" s="6"/>
      <c r="G24" s="12"/>
      <c r="H24" s="16"/>
      <c r="I24" s="8"/>
      <c r="J24" s="6"/>
      <c r="K24" s="12"/>
      <c r="L24" s="16"/>
      <c r="M24" s="8"/>
      <c r="N24" s="6"/>
      <c r="O24" s="12"/>
      <c r="P24" s="16"/>
      <c r="Q24" s="8"/>
      <c r="R24" s="6"/>
      <c r="S24" s="12"/>
      <c r="T24" s="16"/>
      <c r="U24" s="8"/>
      <c r="V24" s="6"/>
      <c r="W24" s="12"/>
      <c r="X24" s="16"/>
      <c r="Y24" s="8"/>
      <c r="Z24" s="6"/>
      <c r="AA24" s="12"/>
      <c r="AB24" s="16"/>
      <c r="AC24" s="8"/>
    </row>
    <row r="25" spans="2:29" ht="19.5">
      <c r="B25" s="26">
        <f t="shared" ref="B25" si="46">B21+7</f>
        <v>45656</v>
      </c>
      <c r="C25" s="27" t="str">
        <f t="shared" ref="C25:D25" si="47">C21</f>
        <v>時間</v>
      </c>
      <c r="D25" s="27" t="str">
        <f t="shared" si="47"/>
        <v>備考記入</v>
      </c>
      <c r="E25" s="28" t="str">
        <f>予定一覧!$F$2</f>
        <v>✓</v>
      </c>
      <c r="F25" s="26">
        <f t="shared" ref="F25:AC25" si="48">F21+7</f>
        <v>45657</v>
      </c>
      <c r="G25" s="27" t="str">
        <f t="shared" ref="G25:AC25" si="49">G21</f>
        <v>時間</v>
      </c>
      <c r="H25" s="27" t="str">
        <f t="shared" si="49"/>
        <v>備考記入</v>
      </c>
      <c r="I25" s="28" t="str">
        <f>予定一覧!$F$2</f>
        <v>✓</v>
      </c>
      <c r="J25" s="26">
        <f t="shared" si="48"/>
        <v>45658</v>
      </c>
      <c r="K25" s="27" t="str">
        <f t="shared" ref="K25:AC25" si="50">K21</f>
        <v>時間</v>
      </c>
      <c r="L25" s="27" t="str">
        <f t="shared" si="50"/>
        <v>備考記入</v>
      </c>
      <c r="M25" s="28" t="str">
        <f>予定一覧!$F$2</f>
        <v>✓</v>
      </c>
      <c r="N25" s="26">
        <f t="shared" si="48"/>
        <v>45659</v>
      </c>
      <c r="O25" s="27" t="str">
        <f t="shared" ref="O25:AC25" si="51">O21</f>
        <v>時間</v>
      </c>
      <c r="P25" s="27" t="str">
        <f t="shared" si="51"/>
        <v>備考記入</v>
      </c>
      <c r="Q25" s="28" t="str">
        <f>予定一覧!$F$2</f>
        <v>✓</v>
      </c>
      <c r="R25" s="26">
        <f t="shared" si="48"/>
        <v>45660</v>
      </c>
      <c r="S25" s="27" t="str">
        <f t="shared" ref="S25:AC25" si="52">S21</f>
        <v>時間</v>
      </c>
      <c r="T25" s="27" t="str">
        <f t="shared" si="52"/>
        <v>備考記入</v>
      </c>
      <c r="U25" s="28" t="str">
        <f>予定一覧!$F$2</f>
        <v>✓</v>
      </c>
      <c r="V25" s="26">
        <f t="shared" si="48"/>
        <v>45661</v>
      </c>
      <c r="W25" s="27" t="str">
        <f t="shared" ref="W25:AC25" si="53">W21</f>
        <v>時間</v>
      </c>
      <c r="X25" s="27" t="str">
        <f t="shared" si="53"/>
        <v>備考記入</v>
      </c>
      <c r="Y25" s="28" t="str">
        <f>予定一覧!$F$2</f>
        <v>✓</v>
      </c>
      <c r="Z25" s="26">
        <f t="shared" si="48"/>
        <v>45662</v>
      </c>
      <c r="AA25" s="27" t="str">
        <f t="shared" ref="AA25:AC25" si="54">AA21</f>
        <v>時間</v>
      </c>
      <c r="AB25" s="27" t="str">
        <f t="shared" si="54"/>
        <v>備考記入</v>
      </c>
      <c r="AC25" s="28" t="str">
        <f>予定一覧!$F$2</f>
        <v>✓</v>
      </c>
    </row>
    <row r="26" spans="2:29">
      <c r="B26" s="5"/>
      <c r="C26" s="11"/>
      <c r="D26" s="15"/>
      <c r="E26" s="7"/>
      <c r="F26" s="5"/>
      <c r="G26" s="11"/>
      <c r="H26" s="15"/>
      <c r="I26" s="7"/>
      <c r="J26" s="5"/>
      <c r="K26" s="11"/>
      <c r="L26" s="15"/>
      <c r="M26" s="7"/>
      <c r="N26" s="5"/>
      <c r="O26" s="11"/>
      <c r="P26" s="15"/>
      <c r="Q26" s="7"/>
      <c r="R26" s="5"/>
      <c r="S26" s="11"/>
      <c r="T26" s="15"/>
      <c r="U26" s="7"/>
      <c r="V26" s="5"/>
      <c r="W26" s="11"/>
      <c r="X26" s="15"/>
      <c r="Y26" s="7"/>
      <c r="Z26" s="5"/>
      <c r="AA26" s="11"/>
      <c r="AB26" s="15"/>
      <c r="AC26" s="7"/>
    </row>
    <row r="27" spans="2:29">
      <c r="B27" s="5"/>
      <c r="C27" s="11"/>
      <c r="D27" s="15"/>
      <c r="E27" s="7"/>
      <c r="F27" s="5"/>
      <c r="G27" s="11"/>
      <c r="H27" s="15"/>
      <c r="I27" s="7"/>
      <c r="J27" s="5"/>
      <c r="K27" s="11"/>
      <c r="L27" s="15"/>
      <c r="M27" s="7"/>
      <c r="N27" s="5"/>
      <c r="O27" s="11"/>
      <c r="P27" s="15"/>
      <c r="Q27" s="7"/>
      <c r="R27" s="5"/>
      <c r="S27" s="11"/>
      <c r="T27" s="15"/>
      <c r="U27" s="7"/>
      <c r="V27" s="5"/>
      <c r="W27" s="11"/>
      <c r="X27" s="15"/>
      <c r="Y27" s="7"/>
      <c r="Z27" s="5"/>
      <c r="AA27" s="11"/>
      <c r="AB27" s="15"/>
      <c r="AC27" s="7"/>
    </row>
    <row r="28" spans="2:29">
      <c r="B28" s="6"/>
      <c r="C28" s="12"/>
      <c r="D28" s="16"/>
      <c r="E28" s="8"/>
      <c r="F28" s="6"/>
      <c r="G28" s="12"/>
      <c r="H28" s="16"/>
      <c r="I28" s="8"/>
      <c r="J28" s="6"/>
      <c r="K28" s="12"/>
      <c r="L28" s="16"/>
      <c r="M28" s="8"/>
      <c r="N28" s="6"/>
      <c r="O28" s="12"/>
      <c r="P28" s="16"/>
      <c r="Q28" s="8"/>
      <c r="R28" s="6"/>
      <c r="S28" s="12"/>
      <c r="T28" s="16"/>
      <c r="U28" s="8"/>
      <c r="V28" s="6"/>
      <c r="W28" s="12"/>
      <c r="X28" s="16"/>
      <c r="Y28" s="8"/>
      <c r="Z28" s="6"/>
      <c r="AA28" s="12"/>
      <c r="AB28" s="16"/>
      <c r="AC28" s="8"/>
    </row>
    <row r="29" spans="2:29" ht="19.5">
      <c r="B29" s="26">
        <f t="shared" ref="B29" si="55">B25+7</f>
        <v>45663</v>
      </c>
      <c r="C29" s="27" t="str">
        <f t="shared" ref="C29:D29" si="56">C25</f>
        <v>時間</v>
      </c>
      <c r="D29" s="27" t="str">
        <f t="shared" si="56"/>
        <v>備考記入</v>
      </c>
      <c r="E29" s="28" t="str">
        <f>予定一覧!$F$2</f>
        <v>✓</v>
      </c>
      <c r="F29" s="26">
        <f t="shared" ref="F29:AC29" si="57">F25+7</f>
        <v>45664</v>
      </c>
      <c r="G29" s="27" t="str">
        <f t="shared" ref="G29:AC29" si="58">G25</f>
        <v>時間</v>
      </c>
      <c r="H29" s="27" t="str">
        <f t="shared" si="58"/>
        <v>備考記入</v>
      </c>
      <c r="I29" s="28" t="str">
        <f>予定一覧!$F$2</f>
        <v>✓</v>
      </c>
      <c r="J29" s="26">
        <f t="shared" si="57"/>
        <v>45665</v>
      </c>
      <c r="K29" s="27" t="str">
        <f t="shared" ref="K29:AC29" si="59">K25</f>
        <v>時間</v>
      </c>
      <c r="L29" s="27" t="str">
        <f t="shared" si="59"/>
        <v>備考記入</v>
      </c>
      <c r="M29" s="28" t="str">
        <f>予定一覧!$F$2</f>
        <v>✓</v>
      </c>
      <c r="N29" s="26">
        <f t="shared" si="57"/>
        <v>45666</v>
      </c>
      <c r="O29" s="27" t="str">
        <f t="shared" ref="O29:AC29" si="60">O25</f>
        <v>時間</v>
      </c>
      <c r="P29" s="27" t="str">
        <f t="shared" si="60"/>
        <v>備考記入</v>
      </c>
      <c r="Q29" s="28" t="str">
        <f>予定一覧!$F$2</f>
        <v>✓</v>
      </c>
      <c r="R29" s="26">
        <f t="shared" si="57"/>
        <v>45667</v>
      </c>
      <c r="S29" s="27" t="str">
        <f t="shared" ref="S29:AC29" si="61">S25</f>
        <v>時間</v>
      </c>
      <c r="T29" s="27" t="str">
        <f t="shared" si="61"/>
        <v>備考記入</v>
      </c>
      <c r="U29" s="28" t="str">
        <f>予定一覧!$F$2</f>
        <v>✓</v>
      </c>
      <c r="V29" s="26">
        <f t="shared" si="57"/>
        <v>45668</v>
      </c>
      <c r="W29" s="27" t="str">
        <f t="shared" ref="W29:AC29" si="62">W25</f>
        <v>時間</v>
      </c>
      <c r="X29" s="27" t="str">
        <f t="shared" si="62"/>
        <v>備考記入</v>
      </c>
      <c r="Y29" s="28" t="str">
        <f>予定一覧!$F$2</f>
        <v>✓</v>
      </c>
      <c r="Z29" s="26">
        <f t="shared" si="57"/>
        <v>45669</v>
      </c>
      <c r="AA29" s="27" t="str">
        <f t="shared" ref="AA29:AC29" si="63">AA25</f>
        <v>時間</v>
      </c>
      <c r="AB29" s="27" t="str">
        <f t="shared" si="63"/>
        <v>備考記入</v>
      </c>
      <c r="AC29" s="28" t="str">
        <f>予定一覧!$F$2</f>
        <v>✓</v>
      </c>
    </row>
    <row r="30" spans="2:29">
      <c r="B30" s="5"/>
      <c r="C30" s="11"/>
      <c r="D30" s="15"/>
      <c r="E30" s="7"/>
      <c r="F30" s="5"/>
      <c r="G30" s="11"/>
      <c r="H30" s="15"/>
      <c r="I30" s="7"/>
      <c r="J30" s="5"/>
      <c r="K30" s="11"/>
      <c r="L30" s="15"/>
      <c r="M30" s="7"/>
      <c r="N30" s="5"/>
      <c r="O30" s="11"/>
      <c r="P30" s="15"/>
      <c r="Q30" s="7"/>
      <c r="R30" s="5"/>
      <c r="S30" s="11"/>
      <c r="T30" s="15"/>
      <c r="U30" s="7"/>
      <c r="V30" s="5"/>
      <c r="W30" s="11"/>
      <c r="X30" s="15"/>
      <c r="Y30" s="7"/>
      <c r="Z30" s="5"/>
      <c r="AA30" s="11"/>
      <c r="AB30" s="15"/>
      <c r="AC30" s="7"/>
    </row>
    <row r="31" spans="2:29">
      <c r="B31" s="5"/>
      <c r="C31" s="11"/>
      <c r="D31" s="15"/>
      <c r="E31" s="7"/>
      <c r="F31" s="5"/>
      <c r="G31" s="11"/>
      <c r="H31" s="15"/>
      <c r="I31" s="7"/>
      <c r="J31" s="5"/>
      <c r="K31" s="11"/>
      <c r="L31" s="15"/>
      <c r="M31" s="7"/>
      <c r="N31" s="5"/>
      <c r="O31" s="11"/>
      <c r="P31" s="15"/>
      <c r="Q31" s="7"/>
      <c r="R31" s="5"/>
      <c r="S31" s="11"/>
      <c r="T31" s="15"/>
      <c r="U31" s="7"/>
      <c r="V31" s="5"/>
      <c r="W31" s="11"/>
      <c r="X31" s="15"/>
      <c r="Y31" s="7"/>
      <c r="Z31" s="5"/>
      <c r="AA31" s="11"/>
      <c r="AB31" s="15"/>
      <c r="AC31" s="7"/>
    </row>
    <row r="32" spans="2:29">
      <c r="B32" s="6"/>
      <c r="C32" s="12"/>
      <c r="D32" s="16"/>
      <c r="E32" s="8"/>
      <c r="F32" s="6"/>
      <c r="G32" s="12"/>
      <c r="H32" s="16"/>
      <c r="I32" s="8"/>
      <c r="J32" s="6"/>
      <c r="K32" s="12"/>
      <c r="L32" s="16"/>
      <c r="M32" s="8"/>
      <c r="N32" s="6"/>
      <c r="O32" s="12"/>
      <c r="P32" s="16"/>
      <c r="Q32" s="8"/>
      <c r="R32" s="6"/>
      <c r="S32" s="12"/>
      <c r="T32" s="16"/>
      <c r="U32" s="8"/>
      <c r="V32" s="6"/>
      <c r="W32" s="12"/>
      <c r="X32" s="16"/>
      <c r="Y32" s="8"/>
      <c r="Z32" s="6"/>
      <c r="AA32" s="12"/>
      <c r="AB32" s="16"/>
      <c r="AC32" s="8"/>
    </row>
    <row r="33" spans="2:29" ht="19.5">
      <c r="B33" s="26">
        <f t="shared" ref="B33" si="64">B29+7</f>
        <v>45670</v>
      </c>
      <c r="C33" s="27" t="str">
        <f t="shared" ref="C33:D33" si="65">C29</f>
        <v>時間</v>
      </c>
      <c r="D33" s="27" t="str">
        <f t="shared" si="65"/>
        <v>備考記入</v>
      </c>
      <c r="E33" s="28" t="str">
        <f>予定一覧!$F$2</f>
        <v>✓</v>
      </c>
      <c r="F33" s="26">
        <f t="shared" ref="F33:AC33" si="66">F29+7</f>
        <v>45671</v>
      </c>
      <c r="G33" s="27" t="str">
        <f t="shared" ref="G33:AC33" si="67">G29</f>
        <v>時間</v>
      </c>
      <c r="H33" s="27" t="str">
        <f t="shared" si="67"/>
        <v>備考記入</v>
      </c>
      <c r="I33" s="28" t="str">
        <f>予定一覧!$F$2</f>
        <v>✓</v>
      </c>
      <c r="J33" s="26">
        <f t="shared" si="66"/>
        <v>45672</v>
      </c>
      <c r="K33" s="27" t="str">
        <f t="shared" ref="K33:AC33" si="68">K29</f>
        <v>時間</v>
      </c>
      <c r="L33" s="27" t="str">
        <f t="shared" si="68"/>
        <v>備考記入</v>
      </c>
      <c r="M33" s="28" t="str">
        <f>予定一覧!$F$2</f>
        <v>✓</v>
      </c>
      <c r="N33" s="26">
        <f t="shared" si="66"/>
        <v>45673</v>
      </c>
      <c r="O33" s="27" t="str">
        <f t="shared" ref="O33:AC33" si="69">O29</f>
        <v>時間</v>
      </c>
      <c r="P33" s="27" t="str">
        <f t="shared" si="69"/>
        <v>備考記入</v>
      </c>
      <c r="Q33" s="28" t="str">
        <f>予定一覧!$F$2</f>
        <v>✓</v>
      </c>
      <c r="R33" s="26">
        <f t="shared" si="66"/>
        <v>45674</v>
      </c>
      <c r="S33" s="27" t="str">
        <f t="shared" ref="S33:AC33" si="70">S29</f>
        <v>時間</v>
      </c>
      <c r="T33" s="27" t="str">
        <f t="shared" si="70"/>
        <v>備考記入</v>
      </c>
      <c r="U33" s="28" t="str">
        <f>予定一覧!$F$2</f>
        <v>✓</v>
      </c>
      <c r="V33" s="26">
        <f t="shared" si="66"/>
        <v>45675</v>
      </c>
      <c r="W33" s="27" t="str">
        <f t="shared" ref="W33:AC33" si="71">W29</f>
        <v>時間</v>
      </c>
      <c r="X33" s="27" t="str">
        <f t="shared" si="71"/>
        <v>備考記入</v>
      </c>
      <c r="Y33" s="28" t="str">
        <f>予定一覧!$F$2</f>
        <v>✓</v>
      </c>
      <c r="Z33" s="26">
        <f t="shared" si="66"/>
        <v>45676</v>
      </c>
      <c r="AA33" s="27" t="str">
        <f t="shared" ref="AA33:AC33" si="72">AA29</f>
        <v>時間</v>
      </c>
      <c r="AB33" s="27" t="str">
        <f t="shared" si="72"/>
        <v>備考記入</v>
      </c>
      <c r="AC33" s="28" t="str">
        <f>予定一覧!$F$2</f>
        <v>✓</v>
      </c>
    </row>
    <row r="34" spans="2:29">
      <c r="B34" s="5"/>
      <c r="C34" s="11"/>
      <c r="D34" s="15"/>
      <c r="E34" s="7"/>
      <c r="F34" s="5"/>
      <c r="G34" s="11"/>
      <c r="H34" s="15"/>
      <c r="I34" s="7"/>
      <c r="J34" s="5"/>
      <c r="K34" s="11"/>
      <c r="L34" s="15"/>
      <c r="M34" s="7"/>
      <c r="N34" s="5"/>
      <c r="O34" s="11"/>
      <c r="P34" s="15"/>
      <c r="Q34" s="7"/>
      <c r="R34" s="5"/>
      <c r="S34" s="11"/>
      <c r="T34" s="15"/>
      <c r="U34" s="7"/>
      <c r="V34" s="5"/>
      <c r="W34" s="11"/>
      <c r="X34" s="15"/>
      <c r="Y34" s="7"/>
      <c r="Z34" s="5"/>
      <c r="AA34" s="11"/>
      <c r="AB34" s="15"/>
      <c r="AC34" s="7"/>
    </row>
    <row r="35" spans="2:29">
      <c r="B35" s="5"/>
      <c r="C35" s="11"/>
      <c r="D35" s="15"/>
      <c r="E35" s="7"/>
      <c r="F35" s="5"/>
      <c r="G35" s="11"/>
      <c r="H35" s="15"/>
      <c r="I35" s="7"/>
      <c r="J35" s="5"/>
      <c r="K35" s="11"/>
      <c r="L35" s="15"/>
      <c r="M35" s="7"/>
      <c r="N35" s="5"/>
      <c r="O35" s="11"/>
      <c r="P35" s="15"/>
      <c r="Q35" s="7"/>
      <c r="R35" s="5"/>
      <c r="S35" s="11"/>
      <c r="T35" s="15"/>
      <c r="U35" s="7"/>
      <c r="V35" s="5"/>
      <c r="W35" s="11"/>
      <c r="X35" s="15"/>
      <c r="Y35" s="7"/>
      <c r="Z35" s="5"/>
      <c r="AA35" s="11"/>
      <c r="AB35" s="15"/>
      <c r="AC35" s="7"/>
    </row>
    <row r="36" spans="2:29">
      <c r="B36" s="6"/>
      <c r="C36" s="12"/>
      <c r="D36" s="16"/>
      <c r="E36" s="8"/>
      <c r="F36" s="6"/>
      <c r="G36" s="12"/>
      <c r="H36" s="16"/>
      <c r="I36" s="8"/>
      <c r="J36" s="6"/>
      <c r="K36" s="12"/>
      <c r="L36" s="16"/>
      <c r="M36" s="8"/>
      <c r="N36" s="6"/>
      <c r="O36" s="12"/>
      <c r="P36" s="16"/>
      <c r="Q36" s="8"/>
      <c r="R36" s="6"/>
      <c r="S36" s="12"/>
      <c r="T36" s="16"/>
      <c r="U36" s="8"/>
      <c r="V36" s="6"/>
      <c r="W36" s="12"/>
      <c r="X36" s="16"/>
      <c r="Y36" s="8"/>
      <c r="Z36" s="6"/>
      <c r="AA36" s="12"/>
      <c r="AB36" s="16"/>
      <c r="AC36" s="8"/>
    </row>
    <row r="37" spans="2:29" ht="19.5">
      <c r="B37" s="26">
        <f t="shared" ref="B37" si="73">B33+7</f>
        <v>45677</v>
      </c>
      <c r="C37" s="27" t="str">
        <f t="shared" ref="C37:D37" si="74">C33</f>
        <v>時間</v>
      </c>
      <c r="D37" s="27" t="str">
        <f t="shared" si="74"/>
        <v>備考記入</v>
      </c>
      <c r="E37" s="28" t="str">
        <f>予定一覧!$F$2</f>
        <v>✓</v>
      </c>
      <c r="F37" s="26">
        <f t="shared" ref="F37:AC37" si="75">F33+7</f>
        <v>45678</v>
      </c>
      <c r="G37" s="27" t="str">
        <f t="shared" ref="G37:AC37" si="76">G33</f>
        <v>時間</v>
      </c>
      <c r="H37" s="27" t="str">
        <f t="shared" si="76"/>
        <v>備考記入</v>
      </c>
      <c r="I37" s="28" t="str">
        <f>予定一覧!$F$2</f>
        <v>✓</v>
      </c>
      <c r="J37" s="26">
        <f t="shared" si="75"/>
        <v>45679</v>
      </c>
      <c r="K37" s="27" t="str">
        <f t="shared" ref="K37:AC37" si="77">K33</f>
        <v>時間</v>
      </c>
      <c r="L37" s="27" t="str">
        <f t="shared" si="77"/>
        <v>備考記入</v>
      </c>
      <c r="M37" s="28" t="str">
        <f>予定一覧!$F$2</f>
        <v>✓</v>
      </c>
      <c r="N37" s="26">
        <f t="shared" si="75"/>
        <v>45680</v>
      </c>
      <c r="O37" s="27" t="str">
        <f t="shared" ref="O37:AC37" si="78">O33</f>
        <v>時間</v>
      </c>
      <c r="P37" s="27" t="str">
        <f t="shared" si="78"/>
        <v>備考記入</v>
      </c>
      <c r="Q37" s="28" t="str">
        <f>予定一覧!$F$2</f>
        <v>✓</v>
      </c>
      <c r="R37" s="26">
        <f t="shared" si="75"/>
        <v>45681</v>
      </c>
      <c r="S37" s="27" t="str">
        <f t="shared" ref="S37:AC37" si="79">S33</f>
        <v>時間</v>
      </c>
      <c r="T37" s="27" t="str">
        <f t="shared" si="79"/>
        <v>備考記入</v>
      </c>
      <c r="U37" s="28" t="str">
        <f>予定一覧!$F$2</f>
        <v>✓</v>
      </c>
      <c r="V37" s="26">
        <f t="shared" si="75"/>
        <v>45682</v>
      </c>
      <c r="W37" s="27" t="str">
        <f t="shared" ref="W37:AC37" si="80">W33</f>
        <v>時間</v>
      </c>
      <c r="X37" s="27" t="str">
        <f t="shared" si="80"/>
        <v>備考記入</v>
      </c>
      <c r="Y37" s="28" t="str">
        <f>予定一覧!$F$2</f>
        <v>✓</v>
      </c>
      <c r="Z37" s="26">
        <f t="shared" si="75"/>
        <v>45683</v>
      </c>
      <c r="AA37" s="27" t="str">
        <f t="shared" ref="AA37:AC37" si="81">AA33</f>
        <v>時間</v>
      </c>
      <c r="AB37" s="27" t="str">
        <f t="shared" si="81"/>
        <v>備考記入</v>
      </c>
      <c r="AC37" s="28" t="str">
        <f>予定一覧!$F$2</f>
        <v>✓</v>
      </c>
    </row>
    <row r="38" spans="2:29">
      <c r="B38" s="5"/>
      <c r="C38" s="11"/>
      <c r="D38" s="15"/>
      <c r="E38" s="7"/>
      <c r="F38" s="5"/>
      <c r="G38" s="11"/>
      <c r="H38" s="15"/>
      <c r="I38" s="7"/>
      <c r="J38" s="5"/>
      <c r="K38" s="11"/>
      <c r="L38" s="15"/>
      <c r="M38" s="7"/>
      <c r="N38" s="5"/>
      <c r="O38" s="11"/>
      <c r="P38" s="15"/>
      <c r="Q38" s="7"/>
      <c r="R38" s="5"/>
      <c r="S38" s="11"/>
      <c r="T38" s="15"/>
      <c r="U38" s="7"/>
      <c r="V38" s="5"/>
      <c r="W38" s="11"/>
      <c r="X38" s="15"/>
      <c r="Y38" s="7"/>
      <c r="Z38" s="5"/>
      <c r="AA38" s="11"/>
      <c r="AB38" s="15"/>
      <c r="AC38" s="7"/>
    </row>
    <row r="39" spans="2:29">
      <c r="B39" s="5"/>
      <c r="C39" s="11"/>
      <c r="D39" s="15"/>
      <c r="E39" s="7"/>
      <c r="F39" s="5"/>
      <c r="G39" s="11"/>
      <c r="H39" s="15"/>
      <c r="I39" s="7"/>
      <c r="J39" s="5"/>
      <c r="K39" s="11"/>
      <c r="L39" s="15"/>
      <c r="M39" s="7"/>
      <c r="N39" s="5"/>
      <c r="O39" s="11"/>
      <c r="P39" s="15"/>
      <c r="Q39" s="7"/>
      <c r="R39" s="5"/>
      <c r="S39" s="11"/>
      <c r="T39" s="15"/>
      <c r="U39" s="7"/>
      <c r="V39" s="5"/>
      <c r="W39" s="11"/>
      <c r="X39" s="15"/>
      <c r="Y39" s="7"/>
      <c r="Z39" s="5"/>
      <c r="AA39" s="11"/>
      <c r="AB39" s="15"/>
      <c r="AC39" s="7"/>
    </row>
    <row r="40" spans="2:29">
      <c r="B40" s="6"/>
      <c r="C40" s="12"/>
      <c r="D40" s="16"/>
      <c r="E40" s="8"/>
      <c r="F40" s="6"/>
      <c r="G40" s="12"/>
      <c r="H40" s="16"/>
      <c r="I40" s="8"/>
      <c r="J40" s="6"/>
      <c r="K40" s="12"/>
      <c r="L40" s="16"/>
      <c r="M40" s="8"/>
      <c r="N40" s="6"/>
      <c r="O40" s="12"/>
      <c r="P40" s="16"/>
      <c r="Q40" s="8"/>
      <c r="R40" s="6"/>
      <c r="S40" s="12"/>
      <c r="T40" s="16"/>
      <c r="U40" s="8"/>
      <c r="V40" s="6"/>
      <c r="W40" s="12"/>
      <c r="X40" s="16"/>
      <c r="Y40" s="8"/>
      <c r="Z40" s="6"/>
      <c r="AA40" s="12"/>
      <c r="AB40" s="16"/>
      <c r="AC40" s="8"/>
    </row>
    <row r="41" spans="2:29" ht="19.5">
      <c r="B41" s="26">
        <f t="shared" ref="B41" si="82">B37+7</f>
        <v>45684</v>
      </c>
      <c r="C41" s="27" t="str">
        <f t="shared" ref="C41:D41" si="83">C37</f>
        <v>時間</v>
      </c>
      <c r="D41" s="27" t="str">
        <f t="shared" si="83"/>
        <v>備考記入</v>
      </c>
      <c r="E41" s="28" t="str">
        <f>予定一覧!$F$2</f>
        <v>✓</v>
      </c>
      <c r="F41" s="26">
        <f t="shared" ref="F41:AC41" si="84">F37+7</f>
        <v>45685</v>
      </c>
      <c r="G41" s="27" t="str">
        <f t="shared" ref="G41:AC41" si="85">G37</f>
        <v>時間</v>
      </c>
      <c r="H41" s="27" t="str">
        <f t="shared" si="85"/>
        <v>備考記入</v>
      </c>
      <c r="I41" s="28" t="str">
        <f>予定一覧!$F$2</f>
        <v>✓</v>
      </c>
      <c r="J41" s="26">
        <f t="shared" si="84"/>
        <v>45686</v>
      </c>
      <c r="K41" s="27" t="str">
        <f t="shared" ref="K41:AC41" si="86">K37</f>
        <v>時間</v>
      </c>
      <c r="L41" s="27" t="str">
        <f t="shared" si="86"/>
        <v>備考記入</v>
      </c>
      <c r="M41" s="28" t="str">
        <f>予定一覧!$F$2</f>
        <v>✓</v>
      </c>
      <c r="N41" s="26">
        <f t="shared" si="84"/>
        <v>45687</v>
      </c>
      <c r="O41" s="27" t="str">
        <f t="shared" ref="O41:AC41" si="87">O37</f>
        <v>時間</v>
      </c>
      <c r="P41" s="27" t="str">
        <f t="shared" si="87"/>
        <v>備考記入</v>
      </c>
      <c r="Q41" s="28" t="str">
        <f>予定一覧!$F$2</f>
        <v>✓</v>
      </c>
      <c r="R41" s="26">
        <f t="shared" si="84"/>
        <v>45688</v>
      </c>
      <c r="S41" s="27" t="str">
        <f t="shared" ref="S41:AC41" si="88">S37</f>
        <v>時間</v>
      </c>
      <c r="T41" s="27" t="str">
        <f t="shared" si="88"/>
        <v>備考記入</v>
      </c>
      <c r="U41" s="28" t="str">
        <f>予定一覧!$F$2</f>
        <v>✓</v>
      </c>
      <c r="V41" s="26">
        <f t="shared" si="84"/>
        <v>45689</v>
      </c>
      <c r="W41" s="27" t="str">
        <f t="shared" ref="W41:AC41" si="89">W37</f>
        <v>時間</v>
      </c>
      <c r="X41" s="27" t="str">
        <f t="shared" si="89"/>
        <v>備考記入</v>
      </c>
      <c r="Y41" s="28" t="str">
        <f>予定一覧!$F$2</f>
        <v>✓</v>
      </c>
      <c r="Z41" s="26">
        <f t="shared" si="84"/>
        <v>45690</v>
      </c>
      <c r="AA41" s="27" t="str">
        <f t="shared" ref="AA41:AC41" si="90">AA37</f>
        <v>時間</v>
      </c>
      <c r="AB41" s="27" t="str">
        <f t="shared" si="90"/>
        <v>備考記入</v>
      </c>
      <c r="AC41" s="28" t="str">
        <f>予定一覧!$F$2</f>
        <v>✓</v>
      </c>
    </row>
    <row r="42" spans="2:29">
      <c r="B42" s="32" t="str">
        <f>HYPERLINK("#予定一覧!$D$13",IF(予定一覧!$D$13="","",予定一覧!$D$13))</f>
        <v>●●市役所</v>
      </c>
      <c r="C42" s="33">
        <f>HYPERLINK("#予定一覧!$C$13",IF(予定一覧!$C$13="","",予定一覧!$C$13))</f>
        <v>0.4375</v>
      </c>
      <c r="D42" s="34" t="str">
        <f>HYPERLINK("#予定一覧!$E$13",IF(予定一覧!$E$13="","",予定一覧!$E$13))</f>
        <v>1階市民課</v>
      </c>
      <c r="E42" s="9" t="str">
        <f>IF(予定一覧!$F$13="","　",予定一覧!$F$13)</f>
        <v>　　</v>
      </c>
      <c r="F42" s="5"/>
      <c r="G42" s="11"/>
      <c r="H42" s="15"/>
      <c r="I42" s="7"/>
      <c r="J42" s="5"/>
      <c r="K42" s="11"/>
      <c r="L42" s="15"/>
      <c r="M42" s="7"/>
      <c r="N42" s="5"/>
      <c r="O42" s="11"/>
      <c r="P42" s="15"/>
      <c r="Q42" s="7"/>
      <c r="R42" s="5"/>
      <c r="S42" s="11"/>
      <c r="T42" s="15"/>
      <c r="U42" s="7"/>
      <c r="V42" s="5"/>
      <c r="W42" s="11"/>
      <c r="X42" s="15"/>
      <c r="Y42" s="7"/>
      <c r="Z42" s="5"/>
      <c r="AA42" s="11"/>
      <c r="AB42" s="15"/>
      <c r="AC42" s="7"/>
    </row>
    <row r="43" spans="2:29">
      <c r="B43" s="5"/>
      <c r="C43" s="11"/>
      <c r="D43" s="15"/>
      <c r="E43" s="7"/>
      <c r="F43" s="5"/>
      <c r="G43" s="11"/>
      <c r="H43" s="15"/>
      <c r="I43" s="7"/>
      <c r="J43" s="5"/>
      <c r="K43" s="11"/>
      <c r="L43" s="15"/>
      <c r="M43" s="7"/>
      <c r="N43" s="5"/>
      <c r="O43" s="11"/>
      <c r="P43" s="15"/>
      <c r="Q43" s="7"/>
      <c r="R43" s="5"/>
      <c r="S43" s="11"/>
      <c r="T43" s="15"/>
      <c r="U43" s="7"/>
      <c r="V43" s="5"/>
      <c r="W43" s="11"/>
      <c r="X43" s="15"/>
      <c r="Y43" s="7"/>
      <c r="Z43" s="5"/>
      <c r="AA43" s="11"/>
      <c r="AB43" s="15"/>
      <c r="AC43" s="7"/>
    </row>
    <row r="44" spans="2:29">
      <c r="B44" s="6"/>
      <c r="C44" s="12"/>
      <c r="D44" s="16"/>
      <c r="E44" s="8"/>
      <c r="F44" s="6"/>
      <c r="G44" s="12"/>
      <c r="H44" s="16"/>
      <c r="I44" s="8"/>
      <c r="J44" s="6"/>
      <c r="K44" s="12"/>
      <c r="L44" s="16"/>
      <c r="M44" s="8"/>
      <c r="N44" s="6"/>
      <c r="O44" s="12"/>
      <c r="P44" s="16"/>
      <c r="Q44" s="8"/>
      <c r="R44" s="6"/>
      <c r="S44" s="12"/>
      <c r="T44" s="16"/>
      <c r="U44" s="8"/>
      <c r="V44" s="6"/>
      <c r="W44" s="12"/>
      <c r="X44" s="16"/>
      <c r="Y44" s="8"/>
      <c r="Z44" s="6"/>
      <c r="AA44" s="12"/>
      <c r="AB44" s="16"/>
      <c r="AC44" s="8"/>
    </row>
    <row r="45" spans="2:29" ht="19.5">
      <c r="B45" s="26">
        <f t="shared" ref="B45" si="91">B41+7</f>
        <v>45691</v>
      </c>
      <c r="C45" s="27" t="str">
        <f t="shared" ref="C45:D45" si="92">C41</f>
        <v>時間</v>
      </c>
      <c r="D45" s="27" t="str">
        <f t="shared" si="92"/>
        <v>備考記入</v>
      </c>
      <c r="E45" s="28" t="str">
        <f>予定一覧!$F$2</f>
        <v>✓</v>
      </c>
      <c r="F45" s="26">
        <f t="shared" ref="F45:AC45" si="93">F41+7</f>
        <v>45692</v>
      </c>
      <c r="G45" s="27" t="str">
        <f t="shared" ref="G45:AC45" si="94">G41</f>
        <v>時間</v>
      </c>
      <c r="H45" s="27" t="str">
        <f t="shared" si="94"/>
        <v>備考記入</v>
      </c>
      <c r="I45" s="28" t="str">
        <f>予定一覧!$F$2</f>
        <v>✓</v>
      </c>
      <c r="J45" s="26">
        <f t="shared" si="93"/>
        <v>45693</v>
      </c>
      <c r="K45" s="27" t="str">
        <f t="shared" ref="K45:AC45" si="95">K41</f>
        <v>時間</v>
      </c>
      <c r="L45" s="27" t="str">
        <f t="shared" si="95"/>
        <v>備考記入</v>
      </c>
      <c r="M45" s="28" t="str">
        <f>予定一覧!$F$2</f>
        <v>✓</v>
      </c>
      <c r="N45" s="26">
        <f t="shared" si="93"/>
        <v>45694</v>
      </c>
      <c r="O45" s="27" t="str">
        <f t="shared" ref="O45:AC45" si="96">O41</f>
        <v>時間</v>
      </c>
      <c r="P45" s="27" t="str">
        <f t="shared" si="96"/>
        <v>備考記入</v>
      </c>
      <c r="Q45" s="28" t="str">
        <f>予定一覧!$F$2</f>
        <v>✓</v>
      </c>
      <c r="R45" s="26">
        <f t="shared" si="93"/>
        <v>45695</v>
      </c>
      <c r="S45" s="27" t="str">
        <f t="shared" ref="S45:AC45" si="97">S41</f>
        <v>時間</v>
      </c>
      <c r="T45" s="27" t="str">
        <f t="shared" si="97"/>
        <v>備考記入</v>
      </c>
      <c r="U45" s="28" t="str">
        <f>予定一覧!$F$2</f>
        <v>✓</v>
      </c>
      <c r="V45" s="26">
        <f t="shared" si="93"/>
        <v>45696</v>
      </c>
      <c r="W45" s="27" t="str">
        <f t="shared" ref="W45:AC45" si="98">W41</f>
        <v>時間</v>
      </c>
      <c r="X45" s="27" t="str">
        <f t="shared" si="98"/>
        <v>備考記入</v>
      </c>
      <c r="Y45" s="28" t="str">
        <f>予定一覧!$F$2</f>
        <v>✓</v>
      </c>
      <c r="Z45" s="26">
        <f t="shared" si="93"/>
        <v>45697</v>
      </c>
      <c r="AA45" s="27" t="str">
        <f t="shared" ref="AA45:AC45" si="99">AA41</f>
        <v>時間</v>
      </c>
      <c r="AB45" s="27" t="str">
        <f t="shared" si="99"/>
        <v>備考記入</v>
      </c>
      <c r="AC45" s="28" t="str">
        <f>予定一覧!$F$2</f>
        <v>✓</v>
      </c>
    </row>
    <row r="46" spans="2:29">
      <c r="B46" s="5"/>
      <c r="C46" s="11"/>
      <c r="D46" s="15"/>
      <c r="E46" s="7"/>
      <c r="F46" s="5"/>
      <c r="G46" s="11"/>
      <c r="H46" s="15"/>
      <c r="I46" s="7"/>
      <c r="J46" s="5"/>
      <c r="K46" s="11"/>
      <c r="L46" s="15"/>
      <c r="M46" s="7"/>
      <c r="N46" s="5"/>
      <c r="O46" s="11"/>
      <c r="P46" s="15"/>
      <c r="Q46" s="7"/>
      <c r="R46" s="5"/>
      <c r="S46" s="11"/>
      <c r="T46" s="15"/>
      <c r="U46" s="7"/>
      <c r="V46" s="5"/>
      <c r="W46" s="11"/>
      <c r="X46" s="15"/>
      <c r="Y46" s="7"/>
      <c r="Z46" s="5"/>
      <c r="AA46" s="11"/>
      <c r="AB46" s="15"/>
      <c r="AC46" s="7"/>
    </row>
    <row r="47" spans="2:29">
      <c r="B47" s="5"/>
      <c r="C47" s="11"/>
      <c r="D47" s="15"/>
      <c r="E47" s="7"/>
      <c r="F47" s="5"/>
      <c r="G47" s="11"/>
      <c r="H47" s="15"/>
      <c r="I47" s="7"/>
      <c r="J47" s="5"/>
      <c r="K47" s="11"/>
      <c r="L47" s="15"/>
      <c r="M47" s="7"/>
      <c r="N47" s="5"/>
      <c r="O47" s="11"/>
      <c r="P47" s="15"/>
      <c r="Q47" s="7"/>
      <c r="R47" s="5"/>
      <c r="S47" s="11"/>
      <c r="T47" s="15"/>
      <c r="U47" s="7"/>
      <c r="V47" s="5"/>
      <c r="W47" s="11"/>
      <c r="X47" s="15"/>
      <c r="Y47" s="7"/>
      <c r="Z47" s="5"/>
      <c r="AA47" s="11"/>
      <c r="AB47" s="15"/>
      <c r="AC47" s="7"/>
    </row>
    <row r="48" spans="2:29">
      <c r="B48" s="6"/>
      <c r="C48" s="12"/>
      <c r="D48" s="16"/>
      <c r="E48" s="8"/>
      <c r="F48" s="6"/>
      <c r="G48" s="12"/>
      <c r="H48" s="16"/>
      <c r="I48" s="8"/>
      <c r="J48" s="6"/>
      <c r="K48" s="12"/>
      <c r="L48" s="16"/>
      <c r="M48" s="8"/>
      <c r="N48" s="6"/>
      <c r="O48" s="12"/>
      <c r="P48" s="16"/>
      <c r="Q48" s="8"/>
      <c r="R48" s="6"/>
      <c r="S48" s="12"/>
      <c r="T48" s="16"/>
      <c r="U48" s="8"/>
      <c r="V48" s="6"/>
      <c r="W48" s="12"/>
      <c r="X48" s="16"/>
      <c r="Y48" s="8"/>
      <c r="Z48" s="6"/>
      <c r="AA48" s="12"/>
      <c r="AB48" s="16"/>
      <c r="AC48" s="8"/>
    </row>
  </sheetData>
  <sheetProtection sheet="1" objects="1" scenarios="1"/>
  <mergeCells count="1">
    <mergeCell ref="B2:F2"/>
  </mergeCells>
  <phoneticPr fontId="1"/>
  <conditionalFormatting sqref="B4:AC4">
    <cfRule type="expression" dxfId="6" priority="6" stopIfTrue="1">
      <formula>OFFSET($B4,0,(B$3-1)*4,1,1)=TODAY()</formula>
    </cfRule>
    <cfRule type="expression" dxfId="5" priority="7" stopIfTrue="1">
      <formula>WEEKDAY(OFFSET($B4,0,(B$3-1)*4,1,1),2)=6</formula>
    </cfRule>
    <cfRule type="expression" dxfId="4" priority="8" stopIfTrue="1">
      <formula>WEEKDAY(OFFSET($B4,0,(B$3-1)*4,1,1),2)=7</formula>
    </cfRule>
  </conditionalFormatting>
  <conditionalFormatting sqref="B8:AC8 B13:AC13 B17:AC17 B21:AC21 B25:AC25 B29:AC29 B33:AC33 B37:AC37 B41:AC41 B45:AC45">
    <cfRule type="expression" dxfId="2" priority="2" stopIfTrue="1">
      <formula>OFFSET($B8,0,(B$3-1)*4,1,1)=TODAY()</formula>
    </cfRule>
    <cfRule type="expression" dxfId="1" priority="3" stopIfTrue="1">
      <formula>WEEKDAY(OFFSET($B8,0,(B$3-1)*4,1,1),2)=6</formula>
    </cfRule>
    <cfRule type="expression" dxfId="0" priority="4" stopIfTrue="1">
      <formula>WEEKDAY(OFFSET($B8,0,(B$3-1)*4,1,1),2)=7</formula>
    </cfRule>
  </conditionalFormatting>
  <hyperlinks>
    <hyperlink ref="E9" location="予定一覧!$F$3" tooltip="クリックしてください" display="=if(予定一覧!$F$3=&quot;&quot;,&quot;　&quot;,予定一覧!$F$3)" xr:uid="{9A54774D-E303-4183-9FF7-32C598A173E1}"/>
    <hyperlink ref="E10" location="予定一覧!$F$4" tooltip="クリックしてください" display="=if(予定一覧!$F$4=&quot;&quot;,&quot;　&quot;,予定一覧!$F$4)" xr:uid="{8F117E1D-A42D-4C23-B5FB-33659109845F}"/>
    <hyperlink ref="E11" location="予定一覧!$F$5" tooltip="クリックしてください" display="=if(予定一覧!$F$5=&quot;&quot;,&quot;　&quot;,予定一覧!$F$5)" xr:uid="{3F6A3221-707F-4F57-AF19-F4F656FAB07F}"/>
    <hyperlink ref="E12" location="予定一覧!$F$6" tooltip="クリックしてください" display="=if(予定一覧!$F$6=&quot;&quot;,&quot;　&quot;,予定一覧!$F$6)" xr:uid="{F740E878-9544-4184-85E4-683F729DFEED}"/>
    <hyperlink ref="I9" location="予定一覧!$F$7" tooltip="クリックしてください" display="=if(予定一覧!$F$7=&quot;&quot;,&quot;　&quot;,予定一覧!$F$7)" xr:uid="{2F3B141A-2C44-46A8-A3A8-FA5E3CBCC227}"/>
    <hyperlink ref="U9" location="予定一覧!$F$8" tooltip="クリックしてください" display="=if(予定一覧!$F$8=&quot;&quot;,&quot;　&quot;,予定一覧!$F$8)" xr:uid="{4F502752-BF4D-4CE9-819E-9EE03F1113CC}"/>
    <hyperlink ref="I14" location="予定一覧!$F$9" tooltip="クリックしてください" display="=if(予定一覧!$F$9=&quot;&quot;,&quot;　&quot;,予定一覧!$F$9)" xr:uid="{46044E0B-DD26-44DB-A36C-FBDD73E2C0C7}"/>
    <hyperlink ref="U14" location="予定一覧!$F$10" tooltip="クリックしてください" display="=if(予定一覧!$F$10=&quot;&quot;,&quot;　&quot;,予定一覧!$F$10)" xr:uid="{515A3C45-5562-4D24-AFDD-72B802E9D2ED}"/>
    <hyperlink ref="E18" location="予定一覧!$F$11" tooltip="クリックしてください" display="=if(予定一覧!$F$11=&quot;&quot;,&quot;　&quot;,予定一覧!$F$11)" xr:uid="{65F20121-7C43-491D-B7F3-F65C71603816}"/>
    <hyperlink ref="U18" location="予定一覧!$F$12" tooltip="クリックしてください" display="=if(予定一覧!$F$12=&quot;&quot;,&quot;　&quot;,予定一覧!$F$12)" xr:uid="{65A6B9F4-B232-4A8C-8C1E-0F8AB7AAD9DF}"/>
    <hyperlink ref="E42" location="予定一覧!$F$13" tooltip="クリックしてください" display="=if(予定一覧!$F$13=&quot;&quot;,&quot;　&quot;,予定一覧!$F$13)" xr:uid="{7BAD6156-300E-4587-B879-3E2CF02E7F41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stopIfTrue="1" id="{2CC03E33-B6DC-4F7C-A86B-B3E9518F2FDE}">
            <xm:f>OFFSET($B5,0,(B$3-1)*4+3,1,1)=予定一覧!$F$2</xm:f>
            <x14:dxf>
              <font>
                <color rgb="FFC0C0C0"/>
              </font>
            </x14:dxf>
          </x14:cfRule>
          <xm:sqref>B5:D7 F5:H7 J5:L7 N5:P7 R5:T7 V5:X7 Z5:AB7</xm:sqref>
        </x14:conditionalFormatting>
        <x14:conditionalFormatting xmlns:xm="http://schemas.microsoft.com/office/excel/2006/main">
          <x14:cfRule type="expression" priority="1" stopIfTrue="1" id="{824BC037-F3A5-4042-996A-C70F97158490}">
            <xm:f>OFFSET($B9,0,(B$3-1)*4+3,1,1)=予定一覧!$F$2</xm:f>
            <x14:dxf>
              <font>
                <color rgb="FFC0C0C0"/>
              </font>
            </x14:dxf>
          </x14:cfRule>
          <xm:sqref>B14:D16 B18:D20 B22:D24 B26:D28 B30:D32 B34:D36 B38:D40 B42:D44 B46:D48 F14:H16 J14:L16 N14:P16 R14:T16 V14:X16 Z14:AB16 F18:H20 J18:L20 N18:P20 R18:T20 V18:X20 Z18:AB20 F22:H24 J22:L24 N22:P24 R22:T24 V22:X24 Z22:AB24 F26:H28 J26:L28 N26:P28 R26:T28 V26:X28 Z26:AB28 F30:H32 J30:L32 N30:P32 R30:T32 V30:X32 Z30:AB32 F34:H36 J34:L36 N34:P36 R34:T36 V34:X36 Z34:AB36 F38:H40 J38:L40 N38:P40 R38:T40 V38:X40 Z38:AB40 F42:H44 J42:L44 N42:P44 R42:T44 V42:X44 Z42:AB44 F46:H48 J46:L48 N46:P48 R46:T48 V46:X48 Z46:AB48 B9:D12 F9:H12 J9:L12 N9:P12 R9:T12 V9:X12 Z9:AB12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予定一覧</vt:lpstr>
      <vt:lpstr>カレンダー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cp:lastPrinted>2024-12-12T00:41:24Z</cp:lastPrinted>
  <dcterms:created xsi:type="dcterms:W3CDTF">2024-12-09T06:44:23Z</dcterms:created>
  <dcterms:modified xsi:type="dcterms:W3CDTF">2024-12-13T07:27:39Z</dcterms:modified>
</cp:coreProperties>
</file>